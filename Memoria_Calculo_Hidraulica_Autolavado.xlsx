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ateo\Documents\GitHub\Autolavado\"/>
    </mc:Choice>
  </mc:AlternateContent>
  <xr:revisionPtr revIDLastSave="0" documentId="13_ncr:1_{F34E135A-77E0-4AF4-8422-767C279C7157}" xr6:coauthVersionLast="47" xr6:coauthVersionMax="47" xr10:uidLastSave="{00000000-0000-0000-0000-000000000000}"/>
  <bookViews>
    <workbookView xWindow="-108" yWindow="-108" windowWidth="23256" windowHeight="12456" firstSheet="2" activeTab="6" xr2:uid="{00000000-000D-0000-FFFF-FFFF00000000}"/>
  </bookViews>
  <sheets>
    <sheet name="LEEME" sheetId="1" r:id="rId1"/>
    <sheet name="Datos_base" sheetId="2" r:id="rId2"/>
    <sheet name="Modos" sheetId="3" r:id="rId3"/>
    <sheet name="Propiedades" sheetId="4" r:id="rId4"/>
    <sheet name="Bomba" sheetId="5" r:id="rId5"/>
    <sheet name="Venturi" sheetId="6" r:id="rId6"/>
    <sheet name="Tuberias" sheetId="7" r:id="rId7"/>
    <sheet name="Alimentacion" sheetId="8" r:id="rId8"/>
    <sheet name="Manguera_Pistola" sheetId="9" r:id="rId9"/>
    <sheet name="Boquilla" sheetId="10" r:id="rId10"/>
    <sheet name="Resumen" sheetId="11" r:id="rId11"/>
    <sheet name="Estaciones" sheetId="12" r:id="rId12"/>
    <sheet name="Verificacion" sheetId="13" r:id="rId13"/>
    <sheet name="Fuentes"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7" l="1"/>
  <c r="H10" i="7"/>
  <c r="H11" i="7"/>
  <c r="H12" i="7"/>
  <c r="H13" i="7"/>
  <c r="H8" i="7"/>
  <c r="D4" i="7"/>
  <c r="C4" i="7"/>
  <c r="G12" i="7"/>
  <c r="E13" i="12"/>
  <c r="D9" i="12"/>
  <c r="E9" i="12" s="1"/>
  <c r="D8" i="12"/>
  <c r="E8" i="12" s="1"/>
  <c r="F6" i="12"/>
  <c r="F5" i="12"/>
  <c r="D5" i="12"/>
  <c r="E5" i="12" s="1"/>
  <c r="B20" i="11"/>
  <c r="B19" i="11"/>
  <c r="B16" i="11"/>
  <c r="B14" i="11"/>
  <c r="B10" i="11"/>
  <c r="B9" i="11"/>
  <c r="B5" i="11"/>
  <c r="B10" i="10"/>
  <c r="B7" i="9"/>
  <c r="B6" i="9"/>
  <c r="B22" i="8"/>
  <c r="B17" i="8"/>
  <c r="B15" i="8"/>
  <c r="B25" i="11" s="1"/>
  <c r="B10" i="8"/>
  <c r="B9" i="8"/>
  <c r="B5" i="8"/>
  <c r="V27" i="7"/>
  <c r="Q27" i="7"/>
  <c r="N27" i="7"/>
  <c r="M27" i="7"/>
  <c r="L27" i="7"/>
  <c r="K27" i="7"/>
  <c r="O27" i="7" s="1"/>
  <c r="T27" i="7" s="1"/>
  <c r="V26" i="7"/>
  <c r="Q26" i="7"/>
  <c r="N26" i="7"/>
  <c r="M26" i="7"/>
  <c r="L26" i="7"/>
  <c r="K26" i="7"/>
  <c r="O26" i="7" s="1"/>
  <c r="T26" i="7" s="1"/>
  <c r="V25" i="7"/>
  <c r="Q25" i="7"/>
  <c r="N25" i="7"/>
  <c r="M25" i="7"/>
  <c r="L25" i="7"/>
  <c r="K25" i="7"/>
  <c r="O25" i="7" s="1"/>
  <c r="T25" i="7" s="1"/>
  <c r="V24" i="7"/>
  <c r="Q24" i="7"/>
  <c r="N24" i="7"/>
  <c r="M24" i="7"/>
  <c r="L24" i="7"/>
  <c r="K24" i="7"/>
  <c r="O24" i="7" s="1"/>
  <c r="T24" i="7" s="1"/>
  <c r="V23" i="7"/>
  <c r="Q23" i="7"/>
  <c r="N23" i="7"/>
  <c r="M23" i="7"/>
  <c r="L23" i="7"/>
  <c r="K23" i="7"/>
  <c r="O23" i="7" s="1"/>
  <c r="T23" i="7" s="1"/>
  <c r="V22" i="7"/>
  <c r="Q22" i="7"/>
  <c r="N22" i="7"/>
  <c r="M22" i="7"/>
  <c r="L22" i="7"/>
  <c r="K22" i="7"/>
  <c r="O22" i="7" s="1"/>
  <c r="T22" i="7" s="1"/>
  <c r="V21" i="7"/>
  <c r="Q21" i="7"/>
  <c r="N21" i="7"/>
  <c r="M21" i="7"/>
  <c r="L21" i="7"/>
  <c r="K21" i="7"/>
  <c r="O21" i="7" s="1"/>
  <c r="T21" i="7" s="1"/>
  <c r="V20" i="7"/>
  <c r="Q20" i="7"/>
  <c r="N20" i="7"/>
  <c r="M20" i="7"/>
  <c r="L20" i="7"/>
  <c r="K20" i="7"/>
  <c r="O20" i="7" s="1"/>
  <c r="T20" i="7" s="1"/>
  <c r="V19" i="7"/>
  <c r="Q19" i="7"/>
  <c r="N19" i="7"/>
  <c r="M19" i="7"/>
  <c r="L19" i="7"/>
  <c r="K19" i="7"/>
  <c r="O19" i="7" s="1"/>
  <c r="T19" i="7" s="1"/>
  <c r="V18" i="7"/>
  <c r="Q18" i="7"/>
  <c r="N18" i="7"/>
  <c r="M18" i="7"/>
  <c r="L18" i="7"/>
  <c r="K18" i="7"/>
  <c r="O18" i="7" s="1"/>
  <c r="T18" i="7" s="1"/>
  <c r="V17" i="7"/>
  <c r="Q17" i="7"/>
  <c r="N17" i="7"/>
  <c r="M17" i="7"/>
  <c r="L17" i="7"/>
  <c r="K17" i="7"/>
  <c r="O17" i="7" s="1"/>
  <c r="T17" i="7" s="1"/>
  <c r="V16" i="7"/>
  <c r="Q16" i="7"/>
  <c r="N16" i="7"/>
  <c r="M16" i="7"/>
  <c r="L16" i="7"/>
  <c r="K16" i="7"/>
  <c r="O16" i="7" s="1"/>
  <c r="T16" i="7" s="1"/>
  <c r="V15" i="7"/>
  <c r="Q15" i="7"/>
  <c r="N15" i="7"/>
  <c r="M15" i="7"/>
  <c r="L15" i="7"/>
  <c r="K15" i="7"/>
  <c r="O15" i="7" s="1"/>
  <c r="T15" i="7" s="1"/>
  <c r="V14" i="7"/>
  <c r="Q14" i="7"/>
  <c r="N14" i="7"/>
  <c r="V12" i="7"/>
  <c r="Q12" i="7"/>
  <c r="N12" i="7"/>
  <c r="V11" i="7"/>
  <c r="Q11" i="7"/>
  <c r="N11" i="7"/>
  <c r="V10" i="7"/>
  <c r="Q10" i="7"/>
  <c r="N10" i="7"/>
  <c r="V9" i="7"/>
  <c r="Q9" i="7"/>
  <c r="N9" i="7"/>
  <c r="V8" i="7"/>
  <c r="Q8" i="7"/>
  <c r="N8" i="7"/>
  <c r="B15" i="5"/>
  <c r="B16" i="5" s="1"/>
  <c r="B15" i="4"/>
  <c r="B10" i="4"/>
  <c r="B5" i="4"/>
  <c r="D8" i="3"/>
  <c r="D7" i="3"/>
  <c r="D6" i="3"/>
  <c r="D5" i="3"/>
  <c r="B23" i="2"/>
  <c r="B21" i="2"/>
  <c r="B20" i="2"/>
  <c r="Q13" i="7" l="1"/>
  <c r="N13" i="7"/>
  <c r="V13" i="7"/>
  <c r="B39" i="7" s="1"/>
  <c r="B40" i="7" s="1"/>
  <c r="P27" i="7"/>
  <c r="R27" i="7" s="1"/>
  <c r="S27" i="7" s="1"/>
  <c r="U27" i="7" s="1"/>
  <c r="P26" i="7"/>
  <c r="R26" i="7" s="1"/>
  <c r="S26" i="7" s="1"/>
  <c r="U26" i="7" s="1"/>
  <c r="P25" i="7"/>
  <c r="R25" i="7" s="1"/>
  <c r="S25" i="7" s="1"/>
  <c r="U25" i="7" s="1"/>
  <c r="P24" i="7"/>
  <c r="R24" i="7" s="1"/>
  <c r="S24" i="7" s="1"/>
  <c r="U24" i="7" s="1"/>
  <c r="P23" i="7"/>
  <c r="R23" i="7" s="1"/>
  <c r="S23" i="7" s="1"/>
  <c r="U23" i="7" s="1"/>
  <c r="P22" i="7"/>
  <c r="R22" i="7" s="1"/>
  <c r="S22" i="7" s="1"/>
  <c r="U22" i="7" s="1"/>
  <c r="P21" i="7"/>
  <c r="R21" i="7" s="1"/>
  <c r="S21" i="7" s="1"/>
  <c r="U21" i="7" s="1"/>
  <c r="P20" i="7"/>
  <c r="R20" i="7" s="1"/>
  <c r="S20" i="7" s="1"/>
  <c r="U20" i="7" s="1"/>
  <c r="P19" i="7"/>
  <c r="R19" i="7" s="1"/>
  <c r="S19" i="7" s="1"/>
  <c r="U19" i="7" s="1"/>
  <c r="P18" i="7"/>
  <c r="R18" i="7" s="1"/>
  <c r="S18" i="7" s="1"/>
  <c r="U18" i="7" s="1"/>
  <c r="P17" i="7"/>
  <c r="R17" i="7" s="1"/>
  <c r="S17" i="7" s="1"/>
  <c r="U17" i="7" s="1"/>
  <c r="P16" i="7"/>
  <c r="R16" i="7" s="1"/>
  <c r="S16" i="7" s="1"/>
  <c r="U16" i="7" s="1"/>
  <c r="P15" i="7"/>
  <c r="R15" i="7" s="1"/>
  <c r="S15" i="7" s="1"/>
  <c r="U15" i="7" s="1"/>
  <c r="B37" i="7"/>
  <c r="B38" i="7" s="1"/>
  <c r="B35" i="7"/>
  <c r="B36" i="7" s="1"/>
  <c r="B9" i="4"/>
  <c r="B8" i="4"/>
  <c r="B19" i="2" s="1"/>
  <c r="B7" i="4"/>
  <c r="F9" i="12"/>
  <c r="F8" i="12"/>
  <c r="B11" i="8"/>
  <c r="F12" i="12"/>
  <c r="F7" i="12"/>
  <c r="F10" i="12"/>
  <c r="F11" i="12"/>
  <c r="F13" i="12"/>
  <c r="B6" i="4"/>
  <c r="B7" i="11"/>
  <c r="M14" i="7"/>
  <c r="K14" i="7"/>
  <c r="O14" i="7" s="1"/>
  <c r="T14" i="7" s="1"/>
  <c r="L14" i="7"/>
  <c r="B20" i="8"/>
  <c r="B21" i="8" s="1"/>
  <c r="B6" i="11"/>
  <c r="G6" i="12"/>
  <c r="G7" i="12"/>
  <c r="G9" i="12"/>
  <c r="G5" i="12"/>
  <c r="G8" i="12"/>
  <c r="K10" i="7"/>
  <c r="O10" i="7" s="1"/>
  <c r="K9" i="7"/>
  <c r="O9" i="7" s="1"/>
  <c r="K8" i="7"/>
  <c r="O8" i="7" s="1"/>
  <c r="K11" i="7"/>
  <c r="O11" i="7" s="1"/>
  <c r="B22" i="2"/>
  <c r="B13" i="8" l="1"/>
  <c r="B28" i="11"/>
  <c r="H5" i="12"/>
  <c r="B18" i="2"/>
  <c r="H6" i="12"/>
  <c r="B12" i="4"/>
  <c r="B13" i="4"/>
  <c r="B14" i="4"/>
  <c r="P14" i="7"/>
  <c r="R14" i="7" s="1"/>
  <c r="S14" i="7" s="1"/>
  <c r="U14" i="7" s="1"/>
  <c r="B34" i="7" s="1"/>
  <c r="B11" i="11"/>
  <c r="B23" i="8"/>
  <c r="T10" i="7"/>
  <c r="J7" i="12"/>
  <c r="J6" i="12"/>
  <c r="T9" i="7"/>
  <c r="T8" i="7"/>
  <c r="J5" i="12"/>
  <c r="J8" i="12"/>
  <c r="T11" i="7"/>
  <c r="B13" i="6"/>
  <c r="B15" i="6" s="1"/>
  <c r="B6" i="10"/>
  <c r="G13" i="12"/>
  <c r="B8" i="11"/>
  <c r="G10" i="12"/>
  <c r="G11" i="12"/>
  <c r="G12" i="12"/>
  <c r="K12" i="7"/>
  <c r="O12" i="7" s="1"/>
  <c r="K13" i="7"/>
  <c r="O13" i="7" s="1"/>
  <c r="T13" i="7" s="1"/>
  <c r="L9" i="7" l="1"/>
  <c r="L10" i="7"/>
  <c r="L11" i="7"/>
  <c r="L13" i="7"/>
  <c r="H10" i="12"/>
  <c r="H11" i="12"/>
  <c r="L8" i="7"/>
  <c r="H8" i="12"/>
  <c r="H9" i="12"/>
  <c r="H12" i="12"/>
  <c r="H13" i="12"/>
  <c r="L12" i="7"/>
  <c r="B7" i="10"/>
  <c r="B12" i="10" s="1"/>
  <c r="B14" i="10" s="1"/>
  <c r="H7" i="12"/>
  <c r="M9" i="7"/>
  <c r="M10" i="7"/>
  <c r="M11" i="7"/>
  <c r="M13" i="7"/>
  <c r="M8" i="7"/>
  <c r="M12" i="7"/>
  <c r="B11" i="10"/>
  <c r="T12" i="7"/>
  <c r="J10" i="12"/>
  <c r="J11" i="12"/>
  <c r="P9" i="7" l="1"/>
  <c r="R9" i="7" s="1"/>
  <c r="S9" i="7" s="1"/>
  <c r="U9" i="7" s="1"/>
  <c r="P10" i="7"/>
  <c r="R10" i="7" s="1"/>
  <c r="S10" i="7" s="1"/>
  <c r="U10" i="7" s="1"/>
  <c r="P11" i="7"/>
  <c r="R11" i="7" s="1"/>
  <c r="S11" i="7" s="1"/>
  <c r="U11" i="7" s="1"/>
  <c r="B32" i="7" s="1"/>
  <c r="P13" i="7"/>
  <c r="R13" i="7" s="1"/>
  <c r="S13" i="7" s="1"/>
  <c r="U13" i="7" s="1"/>
  <c r="P8" i="7"/>
  <c r="R8" i="7" s="1"/>
  <c r="S8" i="7" s="1"/>
  <c r="U8" i="7" s="1"/>
  <c r="P12" i="7"/>
  <c r="R12" i="7" s="1"/>
  <c r="S12" i="7" s="1"/>
  <c r="U12" i="7" s="1"/>
  <c r="J13" i="12"/>
  <c r="J12" i="12"/>
  <c r="B12" i="11"/>
  <c r="B13" i="11" l="1"/>
  <c r="B19" i="6"/>
  <c r="B20" i="6" s="1"/>
  <c r="D10" i="12" s="1"/>
  <c r="E6" i="12"/>
  <c r="D6" i="12" s="1"/>
  <c r="B31" i="7"/>
  <c r="B8" i="8" s="1"/>
  <c r="B12" i="8" s="1"/>
  <c r="B33" i="7"/>
  <c r="E10" i="12" l="1"/>
  <c r="D11" i="12"/>
  <c r="E11" i="12" s="1"/>
  <c r="B23" i="11"/>
  <c r="E7" i="12"/>
  <c r="D7" i="12" s="1"/>
  <c r="B14" i="8"/>
  <c r="B17" i="11"/>
  <c r="B18" i="11" s="1"/>
  <c r="B22" i="11" s="1"/>
  <c r="D12" i="12"/>
  <c r="E12" i="12" s="1"/>
  <c r="B15" i="11"/>
  <c r="B24" i="11" l="1"/>
  <c r="B18" i="8"/>
  <c r="B16" i="8"/>
  <c r="B21" i="11"/>
  <c r="B26" i="11" l="1"/>
  <c r="B19" i="8"/>
  <c r="B27" i="11" s="1"/>
</calcChain>
</file>

<file path=xl/sharedStrings.xml><?xml version="1.0" encoding="utf-8"?>
<sst xmlns="http://schemas.openxmlformats.org/spreadsheetml/2006/main" count="913" uniqueCount="618">
  <si>
    <t>MEMORIA DE CÁLCULO HIDRÁULICA — UNIDAD DE AUTOLAVADO</t>
  </si>
  <si>
    <t>Plantilla general editable. Las celdas azules son entradas, las verdes contienen fórmulas y las amarillas son supuestos provisionales o datos que requieren confirmación.</t>
  </si>
  <si>
    <t>Tema</t>
  </si>
  <si>
    <t>Instrucción</t>
  </si>
  <si>
    <t>Propósito</t>
  </si>
  <si>
    <t>Representar matemáticamente el recorrido hidráulico desde la acometida de agua hasta la boquilla, incluyendo pérdidas, calentamiento, bomba, inyector Venturi, manguera, pistola y descarga.</t>
  </si>
  <si>
    <t>Alcance del modelo</t>
  </si>
  <si>
    <t>Régimen estacionario e incompresible como primera iteración. No es un solucionador de redes ramificadas/paralelas ni calcula golpes de ariete o transitorios de cierre.</t>
  </si>
  <si>
    <t>Cómo empezar</t>
  </si>
  <si>
    <t>1) Complete Datos_base; 2) introduzca datos de ficha en Bomba, Venturi y Boquilla; 3) complete longitud, diámetro interno y rugosidad en Tuberias; 4) introduzca pérdidas del filtro, calentador y pistola; 5) revise Resumen, Estaciones y Verificacion.</t>
  </si>
  <si>
    <t>Modo activo</t>
  </si>
  <si>
    <t>Datos_base!B5 permite elegir el caso que se calcula: Prelavado, Jabón, Enjuague, Cera o Pistola cerrada. La hoja Modos define valores iniciales por etapa. El caudal calculado usa el modo activo.</t>
  </si>
  <si>
    <t>Esquema flexible</t>
  </si>
  <si>
    <t>La hoja Tuberias permite hasta 20 tramos editables, con pocas curvas si ese es el diseño. No se necesita fijar ahora el trazado definitivo; cada tramo debe tener longitud, diámetro interno, rugosidad y suma de K explícitos (usar 0 solo cuando sea justificable).</t>
  </si>
  <si>
    <t>Presiones</t>
  </si>
  <si>
    <t>Las presiones de acometida y de descarga de bomba se manejan como manométricas (bar(g)); para NPSH se convierte a presión absoluta usando la presión atmosférica local editable.</t>
  </si>
  <si>
    <t>Curva de bomba</t>
  </si>
  <si>
    <t>La presión nominal/maximal y el caudal publicado para TRENT HLT395 no constituyen una curva Q–P verificada ni garantizan que esos datos ocurran simultáneamente. Los cálculos contra 110 bar son comparaciones preliminares, no un punto de operación certificado.</t>
  </si>
  <si>
    <t>Bloqueo crítico de temperatura</t>
  </si>
  <si>
    <t>La ficha de venta consultada para TRENT HLT395 indica temperatura máxima de agua de 50 °C, pero también «no apto para agua caliente». No alimentar agua calentada a la succión de esta unidad sin aprobación escrita del fabricante o cambio a un equipo apto para agua caliente.</t>
  </si>
  <si>
    <t>Venturi</t>
  </si>
  <si>
    <t>La página de AQB consultada describe el principio, pero no expone en el contenido disponible una referencia exacta con curvas de presión/caudal/aspiración. El modelo exige completar datos del fabricante o medirlos.</t>
  </si>
  <si>
    <t>Propiedades del agua</t>
  </si>
  <si>
    <t>La hoja Propiedades usa correlaciones aproximadas para agua líquida entre 0 y 100 °C (Antoine para presión de vapor). Para mezclas químicas, se aproxima inicialmente la propiedad de la mezcla a la del agua; confirmar si la formulación cambia significativamente densidad o viscosidad.</t>
  </si>
  <si>
    <t>Boquilla</t>
  </si>
  <si>
    <t>El método de orificio es una estimación con coeficiente de descarga Cd. La curva/tabla del fabricante tiene prioridad sobre este cálculo cuando esté disponible.</t>
  </si>
  <si>
    <t>Celdas pendientes</t>
  </si>
  <si>
    <t>Una celda en blanco significa que el dato debe suministrarse; las salidas integradas quedan en blanco cuando falta información esencial. No interprete una celda en blanco como pérdida igual a cero.</t>
  </si>
  <si>
    <t>Seguridad y uso</t>
  </si>
  <si>
    <t>La memoria no sustituye validación de presión/temperatura nominal, selección de válvula de alivio, protección eléctrica, ensayos de estanqueidad ni revisión por personal competente.</t>
  </si>
  <si>
    <t>DATOS GENERALES Y CONDICIONES DE FRONTERA</t>
  </si>
  <si>
    <t>Complete los campos azules. Valores amarillos = supuestos o datos publicados que requieren validación.</t>
  </si>
  <si>
    <t>Parámetro</t>
  </si>
  <si>
    <t>Valor</t>
  </si>
  <si>
    <t>Unidad</t>
  </si>
  <si>
    <t>Tipo</t>
  </si>
  <si>
    <t>Fuente / criterio / observación</t>
  </si>
  <si>
    <t>Modo de operación activo</t>
  </si>
  <si>
    <t>Enjuague</t>
  </si>
  <si>
    <t>—</t>
  </si>
  <si>
    <t>Entrada</t>
  </si>
  <si>
    <t>Seleccione el caso a calcular en el desplegable.</t>
  </si>
  <si>
    <t>Aceleración gravitacional g</t>
  </si>
  <si>
    <t>m/s²</t>
  </si>
  <si>
    <t>Constante editable</t>
  </si>
  <si>
    <t>Constante física estándar.</t>
  </si>
  <si>
    <t>Presión atmosférica local</t>
  </si>
  <si>
    <t>kPa(abs)</t>
  </si>
  <si>
    <t>Supuesto editable</t>
  </si>
  <si>
    <t>Aproximación inicial para Bogotá; sustituir por presión barométrica del sitio.</t>
  </si>
  <si>
    <t>Presión dinámica de acometida</t>
  </si>
  <si>
    <t>bar(g)</t>
  </si>
  <si>
    <t>Entrada requerida</t>
  </si>
  <si>
    <t>Medir en el punto real de conexión con caudal circulando; no usar presión estática sin flujo.</t>
  </si>
  <si>
    <t>Temperatura de agua de entrada</t>
  </si>
  <si>
    <t>°C</t>
  </si>
  <si>
    <t>Valor preliminar de arranque; medir en la instalación.</t>
  </si>
  <si>
    <t>Caudal de agua de referencia</t>
  </si>
  <si>
    <t>L/min</t>
  </si>
  <si>
    <t>Dato publicado preliminar</t>
  </si>
  <si>
    <t>Listado de venta de HLT395 indica 7 L/min; confirmar ficha oficial y punto de operación.</t>
  </si>
  <si>
    <t>Calor específico del agua</t>
  </si>
  <si>
    <t>J/(kg·K)</t>
  </si>
  <si>
    <t>Aproximación para agua líquida; puede actualizarse con datos más precisos.</t>
  </si>
  <si>
    <t>Temperatura objetivo a la salida del calentador</t>
  </si>
  <si>
    <t>No definir sin compatibilidad de bomba, mangueras, sellos, químicos y calentador.</t>
  </si>
  <si>
    <t>Diferencia de cota (superficie fuente − succión bomba)</t>
  </si>
  <si>
    <t>m</t>
  </si>
  <si>
    <t>Positivo si la superficie/centro de presión de la fuente está por encima de la brida de succión.</t>
  </si>
  <si>
    <t>Margen de presión de diseño</t>
  </si>
  <si>
    <t>fracción</t>
  </si>
  <si>
    <t>Reserva NPSH sobre NPSHr</t>
  </si>
  <si>
    <t>Definir según fabricante, tipo de bomba y criterio de diseño.</t>
  </si>
  <si>
    <t>Potencia térmica nominal del calentador</t>
  </si>
  <si>
    <t>kW</t>
  </si>
  <si>
    <t>Registrar potencia útil disponible, no solo consumo eléctrico.</t>
  </si>
  <si>
    <t>Temperatura máxima de entrada publicada HLT395</t>
  </si>
  <si>
    <t>Dato no confirmado oficialmente</t>
  </si>
  <si>
    <t>La misma publicación consultada indica «no apto para agua caliente»; no interpretar 50 °C como autorización para precalentar.</t>
  </si>
  <si>
    <t>Densidad de agua a la entrada</t>
  </si>
  <si>
    <t>kg/m³</t>
  </si>
  <si>
    <t>Calculado</t>
  </si>
  <si>
    <t>Correlación en hoja Propiedades.</t>
  </si>
  <si>
    <t>Viscosidad dinámica de agua a la entrada</t>
  </si>
  <si>
    <t>Pa·s</t>
  </si>
  <si>
    <t>Caudal activo de agua</t>
  </si>
  <si>
    <t>Toma el caudal definido para el modo activo de la hoja Modos.</t>
  </si>
  <si>
    <t>Caudal activo de producto químico</t>
  </si>
  <si>
    <t>Se activa solo para Prelavado, Jabón y Cera; requiere caudal de aspiración medido o de fabricante.</t>
  </si>
  <si>
    <t>Caudal total de mezcla</t>
  </si>
  <si>
    <t>Suma caudal de agua y químico; en Enjuague equivale al caudal de agua.</t>
  </si>
  <si>
    <t>Temperatura estimada en succión de bomba</t>
  </si>
  <si>
    <t>Si no se define temperatura objetivo, supone que no hay calentamiento (T de succión = T de entrada).</t>
  </si>
  <si>
    <t>MATRIZ DE MODOS DE OPERACIÓN</t>
  </si>
  <si>
    <t>Esta hoja define los parámetros por etapa. El caso seleccionado en Datos_base!B5 se utiliza en el cálculo integrado; para analizar otro modo, selecciónelo allí.</t>
  </si>
  <si>
    <t>Modo</t>
  </si>
  <si>
    <t>¿Aspira químico?</t>
  </si>
  <si>
    <t>Producto</t>
  </si>
  <si>
    <t>Caudal agua objetivo (L/min)</t>
  </si>
  <si>
    <t>T objetivo (°C)</t>
  </si>
  <si>
    <t>Tiempo etapa (s)</t>
  </si>
  <si>
    <t>Estado pistola</t>
  </si>
  <si>
    <t>Configuración de boquilla</t>
  </si>
  <si>
    <t>Notas / verificación</t>
  </si>
  <si>
    <t>Prelavado</t>
  </si>
  <si>
    <t>Sí</t>
  </si>
  <si>
    <t>Abierta</t>
  </si>
  <si>
    <t>Jabón</t>
  </si>
  <si>
    <t>Jabón / detergente</t>
  </si>
  <si>
    <t>No</t>
  </si>
  <si>
    <t>Ninguno</t>
  </si>
  <si>
    <t>El Venturi sigue generando pérdida de presión aunque no aspire producto.</t>
  </si>
  <si>
    <t>Cera</t>
  </si>
  <si>
    <t>Pistola cerrada</t>
  </si>
  <si>
    <t>Cerrada</t>
  </si>
  <si>
    <t>No hay descarga</t>
  </si>
  <si>
    <t>Estado separado; no se simula transitorio, presión atrapada ni lógica del auto-stop.</t>
  </si>
  <si>
    <t>PROPIEDADES TERMOFÍSICAS DEL AGUA</t>
  </si>
  <si>
    <t>Correlaciones aproximadas para agua líquida. Validez de trabajo indicada en cada fila; sustituir por tablas oficiales si el cálculo exige mayor precisión.</t>
  </si>
  <si>
    <t>Propiedad</t>
  </si>
  <si>
    <t>Entrada / resultado</t>
  </si>
  <si>
    <t>Método</t>
  </si>
  <si>
    <t>Observación</t>
  </si>
  <si>
    <t>Temperatura agua a la entrada</t>
  </si>
  <si>
    <t>Vínculo</t>
  </si>
  <si>
    <t>Enlace a Datos_base.</t>
  </si>
  <si>
    <t>Temperatura en succión de bomba</t>
  </si>
  <si>
    <t>Si no se define setpoint, usa temperatura de entrada.</t>
  </si>
  <si>
    <t>Densidad a T entrada</t>
  </si>
  <si>
    <t>Correlación empírica</t>
  </si>
  <si>
    <t>Aproximación de densidad de agua; rango 0–100 °C.</t>
  </si>
  <si>
    <t>Viscosidad dinámica a T entrada</t>
  </si>
  <si>
    <t>Correlación tipo Vogel</t>
  </si>
  <si>
    <t>Aproximación para agua líquida; rango 0–100 °C.</t>
  </si>
  <si>
    <t>Presión de vapor a T entrada</t>
  </si>
  <si>
    <t>Antoine</t>
  </si>
  <si>
    <t>La ecuación usada aplica aproximadamente entre 1 y 100 °C.</t>
  </si>
  <si>
    <t>Calor específico</t>
  </si>
  <si>
    <t>Dato editable</t>
  </si>
  <si>
    <t>Constante nominal; aproximación para agua líquida.</t>
  </si>
  <si>
    <t>Densidad a T succión</t>
  </si>
  <si>
    <t>Usada para NPSH y como primera aproximación de mezcla.</t>
  </si>
  <si>
    <t>Viscosidad dinámica a T succión</t>
  </si>
  <si>
    <t>Usada para Reynolds en tramos con agua/mezcla.</t>
  </si>
  <si>
    <t>Presión de vapor a T succión</t>
  </si>
  <si>
    <t>Crítica para calcular NPSH disponible.</t>
  </si>
  <si>
    <t>Calor específico a T succión</t>
  </si>
  <si>
    <t>Vínculo al valor de Datos_base.</t>
  </si>
  <si>
    <t>BOMBA / HIDROLAVADORA DE REFERENCIA</t>
  </si>
  <si>
    <t>Datos preliminares del equipo informado por el usuario y de un listado de venta consultado. Completar con ficha oficial, manual y curva de operación.</t>
  </si>
  <si>
    <t>Estado</t>
  </si>
  <si>
    <t>Fuente / observación</t>
  </si>
  <si>
    <t>Equipo</t>
  </si>
  <si>
    <t>TRENT HLT395</t>
  </si>
  <si>
    <t>Referencia suministrada</t>
  </si>
  <si>
    <t>Hidrolavadora completa; no se dispone todavía de curva de bomba aislada.</t>
  </si>
  <si>
    <t>Potencia eléctrica publicada</t>
  </si>
  <si>
    <t>W</t>
  </si>
  <si>
    <t>Dato publicado</t>
  </si>
  <si>
    <t>Listado de venta consultado; verificar placa del equipo.</t>
  </si>
  <si>
    <t>Presión nominal publicada</t>
  </si>
  <si>
    <t>No equivale a curva Q–P ni garantiza el punto de operación a 7 L/min.</t>
  </si>
  <si>
    <t>Presión máxima publicada</t>
  </si>
  <si>
    <t>Límite reportado; no diseñar operación continua en el máximo sin manual.</t>
  </si>
  <si>
    <t>Caudal publicado</t>
  </si>
  <si>
    <t>No se confirma que sea simultáneo con la presión nominal publicada.</t>
  </si>
  <si>
    <t>Temperatura máxima de agua reportada</t>
  </si>
  <si>
    <t>La ficha de venta también marca «apto para agua caliente: No».</t>
  </si>
  <si>
    <t>Tensión eléctrica publicada</t>
  </si>
  <si>
    <t>V</t>
  </si>
  <si>
    <t>Verificar placa y requisitos eléctricos de la instalación.</t>
  </si>
  <si>
    <t>Longitud de manguera incluida en venta</t>
  </si>
  <si>
    <t>No asumir que esta manguera sea la definida en arquitectura; el tramo de diseño indicado por el usuario es aprox. 4 m después del inyector.</t>
  </si>
  <si>
    <t>NPSHr</t>
  </si>
  <si>
    <t>Solicitar al fabricante; para una hidrolavadora completa puede no publicarse como dato de usuario.</t>
  </si>
  <si>
    <t>Curva caudal-presión / manual oficial</t>
  </si>
  <si>
    <t>URL / archivo</t>
  </si>
  <si>
    <t>Registrar enlace o ruta al manual. No interpolar una curva no disponible.</t>
  </si>
  <si>
    <t>Potencia hidráulica indicativa a presión nominal</t>
  </si>
  <si>
    <t>Calculado — solo screening</t>
  </si>
  <si>
    <t>Producto Q×Δp con valores publicados; no indica que ese punto exista en operación.</t>
  </si>
  <si>
    <t>Relación hidráulica/eléctrica indicativa</t>
  </si>
  <si>
    <t>No es eficiencia real</t>
  </si>
  <si>
    <t>No usar como eficiencia de bomba: Q y presión pueden corresponder a puntos distintos.</t>
  </si>
  <si>
    <t>INYECTOR VENTURI Y DOSIFICACIÓN QUÍMICA</t>
  </si>
  <si>
    <t>No hay valores de fabricante suficientes en la página consultada para cerrar el modelo. Las pérdidas y la aspiración deben tomarse de curva/ficha técnica o ensayo.</t>
  </si>
  <si>
    <t>Proveedor / familia</t>
  </si>
  <si>
    <t>AQB Asociados — Inyectores Químicos Venturi</t>
  </si>
  <si>
    <t>Referencia informada</t>
  </si>
  <si>
    <t>La página describe el principio Venturi; seleccionar una referencia y tamaño exactos.</t>
  </si>
  <si>
    <t>Modelo / tamaño exacto</t>
  </si>
  <si>
    <t>Solicitar referencia, conexiones y ficha técnica.</t>
  </si>
  <si>
    <t>Presión de entrada de trabajo</t>
  </si>
  <si>
    <t>Debe coincidir con caudal y contrapresión de operación.</t>
  </si>
  <si>
    <t>Caudal de agua operativo recomendado</t>
  </si>
  <si>
    <t>Solicitar curva o tabla del fabricante.</t>
  </si>
  <si>
    <t>Contrapresión máxima / presión de salida</t>
  </si>
  <si>
    <t>La aspiración depende de la presión de descarga además de la presión de entrada.</t>
  </si>
  <si>
    <t>Pérdida de presión a caudal de diseño</t>
  </si>
  <si>
    <t>kPa</t>
  </si>
  <si>
    <t>Dato esencial para el balance de presión de la red; obtener de fabricante o medir.</t>
  </si>
  <si>
    <t>Caudal de químico aspirado</t>
  </si>
  <si>
    <t>Caudal químico activo</t>
  </si>
  <si>
    <t>Solo vale si el modo seleccionado aspira producto.</t>
  </si>
  <si>
    <t>Caudal de mezcla a la salida</t>
  </si>
  <si>
    <t>Suma de agua y químico activo.</t>
  </si>
  <si>
    <t>Relación volumétrica agua / químico</t>
  </si>
  <si>
    <t>Q_agua / Q_químico; queda vacía cuando no se aspira químico.</t>
  </si>
  <si>
    <t>Fracción volumétrica de producto en mezcla</t>
  </si>
  <si>
    <t>Q_químico / (Q_agua + Q_químico). No equivale necesariamente a concentración activa del químico.</t>
  </si>
  <si>
    <t>Densidad del producto químico</t>
  </si>
  <si>
    <t>Obtener de ficha del producto.</t>
  </si>
  <si>
    <t>Viscosidad dinámica del producto</t>
  </si>
  <si>
    <t>Obtener de ficha del producto a temperatura de operación.</t>
  </si>
  <si>
    <t>Presión en garganta / puerto de aspiración</t>
  </si>
  <si>
    <t>No inferirla solo con Bernoulli ideal sin geometría y coeficientes del inyector.</t>
  </si>
  <si>
    <t>Presión estimada a la entrada</t>
  </si>
  <si>
    <t>Presión nominal de la hidrolavadora menos pérdidas calculadas antes del Venturi; solo referencia preliminar.</t>
  </si>
  <si>
    <t>Presión estimada a la salida</t>
  </si>
  <si>
    <t>Presión de entrada estimada menos la pérdida informada.</t>
  </si>
  <si>
    <t>Fuente: https://www.aqbasociados.com.co/producto/inyectores-quimicos-venturi/ — la información visible describe la función, pero no proporciona en el contenido consultado una curva cuantitativa para el modelo exacto.</t>
  </si>
  <si>
    <t>PÉRDIDAS DE CARGA EN TRAMOS FLEXIBLES Y ACCESORIOS</t>
  </si>
  <si>
    <t>Tabla genérica de hasta 20 tramos. Complete longitud, diámetro interno, rugosidad y K total. Los componentes con curva propia (filtro, calentador, Venturi, pistola y boquilla) se modelan aparte.</t>
  </si>
  <si>
    <t>ID</t>
  </si>
  <si>
    <t>Circuito</t>
  </si>
  <si>
    <t>Tramo</t>
  </si>
  <si>
    <t>Desde</t>
  </si>
  <si>
    <t>Hasta</t>
  </si>
  <si>
    <t>Fluido</t>
  </si>
  <si>
    <t>Longitud L (m)</t>
  </si>
  <si>
    <t>Di interno (mm)</t>
  </si>
  <si>
    <t>Rugosidad ε (mm)</t>
  </si>
  <si>
    <t>ΣK</t>
  </si>
  <si>
    <t>Caudal Q (L/min)</t>
  </si>
  <si>
    <t>Densidad (kg/m³)</t>
  </si>
  <si>
    <t>Viscosidad μ (Pa·s)</t>
  </si>
  <si>
    <t>Área (m²)</t>
  </si>
  <si>
    <t>Velocidad (m/s)</t>
  </si>
  <si>
    <t>Reynolds</t>
  </si>
  <si>
    <t>ε/Di</t>
  </si>
  <si>
    <t>f Darcy</t>
  </si>
  <si>
    <t>hf (m)</t>
  </si>
  <si>
    <t>hK (m)</t>
  </si>
  <si>
    <t>ΔP (kPa)</t>
  </si>
  <si>
    <t>Geometría del tramo</t>
  </si>
  <si>
    <t>T-01</t>
  </si>
  <si>
    <t>Succión</t>
  </si>
  <si>
    <t>Acometida a filtro</t>
  </si>
  <si>
    <t>Punto de agua</t>
  </si>
  <si>
    <t>Filtro</t>
  </si>
  <si>
    <t>Agua</t>
  </si>
  <si>
    <t>T-02</t>
  </si>
  <si>
    <t>Filtro a calentador</t>
  </si>
  <si>
    <t>Calentador</t>
  </si>
  <si>
    <t>T-03</t>
  </si>
  <si>
    <t>Calentador a succión de bomba</t>
  </si>
  <si>
    <t>Bomba</t>
  </si>
  <si>
    <t>T-04</t>
  </si>
  <si>
    <t>Antes Venturi</t>
  </si>
  <si>
    <t>Descarga bomba a entrada Venturi</t>
  </si>
  <si>
    <t>T-05</t>
  </si>
  <si>
    <t>Después Venturi</t>
  </si>
  <si>
    <t>Salida Venturi a pistola (tramo principal)</t>
  </si>
  <si>
    <t>Pistola</t>
  </si>
  <si>
    <t>Mezcla</t>
  </si>
  <si>
    <t>T-06</t>
  </si>
  <si>
    <t>Pistola a boquilla / lanza</t>
  </si>
  <si>
    <t>T-07</t>
  </si>
  <si>
    <t>Químicos</t>
  </si>
  <si>
    <t>Depósito químico a puerto de aspiración</t>
  </si>
  <si>
    <t>Depósito</t>
  </si>
  <si>
    <t>Químico</t>
  </si>
  <si>
    <t>T-08</t>
  </si>
  <si>
    <t>Tramo adicional 01</t>
  </si>
  <si>
    <t>T-09</t>
  </si>
  <si>
    <t>Tramo adicional 02</t>
  </si>
  <si>
    <t>T-10</t>
  </si>
  <si>
    <t>Tramo adicional 03</t>
  </si>
  <si>
    <t>T-11</t>
  </si>
  <si>
    <t>Tramo adicional 04</t>
  </si>
  <si>
    <t>T-12</t>
  </si>
  <si>
    <t>Tramo adicional 05</t>
  </si>
  <si>
    <t>T-13</t>
  </si>
  <si>
    <t>Tramo adicional 06</t>
  </si>
  <si>
    <t>T-14</t>
  </si>
  <si>
    <t>Tramo adicional 07</t>
  </si>
  <si>
    <t>T-15</t>
  </si>
  <si>
    <t>Tramo adicional 08</t>
  </si>
  <si>
    <t>T-16</t>
  </si>
  <si>
    <t>Tramo adicional 09</t>
  </si>
  <si>
    <t>T-17</t>
  </si>
  <si>
    <t>Tramo adicional 10</t>
  </si>
  <si>
    <t>T-18</t>
  </si>
  <si>
    <t>Tramo adicional 11</t>
  </si>
  <si>
    <t>T-19</t>
  </si>
  <si>
    <t>Tramo adicional 12</t>
  </si>
  <si>
    <t>T-20</t>
  </si>
  <si>
    <t>Tramo adicional 13</t>
  </si>
  <si>
    <t>RESUMEN DE PÉRDIDAS / COMPLETITUD</t>
  </si>
  <si>
    <t>Pérdida total en succión</t>
  </si>
  <si>
    <t>Pérdida total antes del Venturi</t>
  </si>
  <si>
    <t>Pérdida total después del Venturi</t>
  </si>
  <si>
    <t>Pérdida de la línea química</t>
  </si>
  <si>
    <t>N.º de tramos incompletos en circuitos activos</t>
  </si>
  <si>
    <t>conteo de celdas</t>
  </si>
  <si>
    <t>Estado de geometría de circuitos activos</t>
  </si>
  <si>
    <t>N.º de tramos incompletos en succión</t>
  </si>
  <si>
    <t>Estado de geometría de succión</t>
  </si>
  <si>
    <t>N.º de tramos incompletos en recorrido de presión</t>
  </si>
  <si>
    <t>Estado de geometría del recorrido de presión</t>
  </si>
  <si>
    <t>ALIMENTACIÓN, FILTRO, CALENTADOR Y SUCCIÓN DE BOMBA</t>
  </si>
  <si>
    <t>Presión en brida de succión y NPSH disponible. Los datos del filtro y calentador son entradas necesarias porque sus pérdidas deben restarse de la presión de acometida.</t>
  </si>
  <si>
    <t>Parámetro / resultado</t>
  </si>
  <si>
    <t>Calculado / vínculo</t>
  </si>
  <si>
    <t>Debe medirse en operación.</t>
  </si>
  <si>
    <t>Pérdida de presión del filtro</t>
  </si>
  <si>
    <t>Usar curva fabricante al caudal actual y contemplar condición de filtro cargado.</t>
  </si>
  <si>
    <t>Pérdida de presión del calentador</t>
  </si>
  <si>
    <t>Solicitar del proveedor a caudal de diseño.</t>
  </si>
  <si>
    <t>Pérdida total de tubería en succión</t>
  </si>
  <si>
    <t>Suma de pérdidas en los tramos identificados como Succión.</t>
  </si>
  <si>
    <t>Diferencia de cota fuente − succión</t>
  </si>
  <si>
    <t>Positiva cuando la fuente está por encima de la brida de succión.</t>
  </si>
  <si>
    <t>Temperatura de entrada</t>
  </si>
  <si>
    <t>Temperatura medida en acometida.</t>
  </si>
  <si>
    <t>Temperatura estimada en succión</t>
  </si>
  <si>
    <t>Debe ser compatible con la bomba; ver alerta térmica.</t>
  </si>
  <si>
    <t>Presión absoluta en brida de succión</t>
  </si>
  <si>
    <t>Patm + presión dinámica manométrica − pérdidas + corrección de cota.</t>
  </si>
  <si>
    <t>Velocidad en tramo final de succión</t>
  </si>
  <si>
    <t>m/s</t>
  </si>
  <si>
    <t>Vinculada al tramo T-03; verificar que la geometría esté completada.</t>
  </si>
  <si>
    <t>NPSH disponible</t>
  </si>
  <si>
    <t>(Pabs,s − Pvap)/(rho·g) + v²/(2g), con presión absoluta en la brida de succión.</t>
  </si>
  <si>
    <t>NPSHr de bomba</t>
  </si>
  <si>
    <t>Se necesita dato del fabricante; puede no estar publicado para el equipo completo.</t>
  </si>
  <si>
    <t>Diferencia NPSHa − NPSHr</t>
  </si>
  <si>
    <t>Margen bruto; todavía falta comparar contra la reserva de diseño.</t>
  </si>
  <si>
    <t>Reserva NPSH de diseño</t>
  </si>
  <si>
    <t>Definir un criterio con fabricante / diseño.</t>
  </si>
  <si>
    <t>Margen neto: NPSHa − NPSHr − reserva</t>
  </si>
  <si>
    <t>Debe ser positivo y cumplir los criterios técnicos aplicables.</t>
  </si>
  <si>
    <t>Estado preliminar NPSH</t>
  </si>
  <si>
    <t>No dar por verificado hasta contar con NPSHr y geometría real.</t>
  </si>
  <si>
    <t>Caudal másico de agua</t>
  </si>
  <si>
    <t>kg/s</t>
  </si>
  <si>
    <t>Para cálculo térmico.</t>
  </si>
  <si>
    <t>Potencia térmica requerida para elevar T</t>
  </si>
  <si>
    <t>mdot·cp·max(0, T_objetivo − T_entrada); no incluye pérdidas térmicas del equipo.</t>
  </si>
  <si>
    <t>Debe corresponder a potencia útil.</t>
  </si>
  <si>
    <t>Margen de potencia térmica</t>
  </si>
  <si>
    <t>Potencia nominal menos potencia sensible calculada.</t>
  </si>
  <si>
    <t>MANGUERA DE ALTA PRESIÓN Y PISTOLA</t>
  </si>
  <si>
    <t>La pérdida de la manguera se calcula en Tuberias. Esta hoja captura la pérdida propia de la pistola y las clasificaciones de presión/temperatura que faltan.</t>
  </si>
  <si>
    <t>Manguera alta presión — configuración</t>
  </si>
  <si>
    <t>Flexible; trazado con pocos cambios de dirección</t>
  </si>
  <si>
    <t>Premisa de diseño</t>
  </si>
  <si>
    <t>Confirmar radio mínimo de curvatura y evitar dobleces que restrinjan el flujo.</t>
  </si>
  <si>
    <t>Longitud del tramo después del Venturi</t>
  </si>
  <si>
    <t>Se usa Tuberias!G12; actualmente 4 m por la arquitectura preliminar.</t>
  </si>
  <si>
    <t>Diámetro interno del tramo después del Venturi</t>
  </si>
  <si>
    <t>mm</t>
  </si>
  <si>
    <t>Se usa Tuberias!H12.</t>
  </si>
  <si>
    <t>Modelo de pistola</t>
  </si>
  <si>
    <t>Marca / referencia de la pistola seleccionada.</t>
  </si>
  <si>
    <t>Pérdida de presión de pistola abierta</t>
  </si>
  <si>
    <t>Curva o presión diferencial medida al caudal de trabajo.</t>
  </si>
  <si>
    <t>Presión máxima admisible de manguera</t>
  </si>
  <si>
    <t>Debe superar la presión de diseño con margen aplicable.</t>
  </si>
  <si>
    <t>Temperatura máxima admisible de manguera</t>
  </si>
  <si>
    <t>Confirmar compatibilidad con agua, químicos y temperatura de lavado.</t>
  </si>
  <si>
    <t>BOQUILLA Y CONDICIÓN DE DESCARGA</t>
  </si>
  <si>
    <t>La presión requerida en boquilla determina parte sustancial del presupuesto de presión. Preferir curva / tabla de fabricante sobre la aproximación de orificio.</t>
  </si>
  <si>
    <t>Método de cálculo</t>
  </si>
  <si>
    <t>Orificio (Cd)</t>
  </si>
  <si>
    <t>Cambie a Curva fabricante cuando disponga de tabla presión–caudal.</t>
  </si>
  <si>
    <t>Caudal total a boquilla</t>
  </si>
  <si>
    <t>Agua + producto químico activo.</t>
  </si>
  <si>
    <t>Densidad de mezcla aproximada</t>
  </si>
  <si>
    <t>Aproximada con agua; actualizar si la mezcla lo requiere.</t>
  </si>
  <si>
    <t>Coeficiente de descarga Cd</t>
  </si>
  <si>
    <t>Supuesto inicial</t>
  </si>
  <si>
    <t>Diámetro efectivo de orificio</t>
  </si>
  <si>
    <t>Área geométrica del orificio</t>
  </si>
  <si>
    <t>m²</t>
  </si>
  <si>
    <t>π·d²/4.</t>
  </si>
  <si>
    <t>Velocidad media de salida</t>
  </si>
  <si>
    <t>Q/A; aproximación de sección circular equivalente.</t>
  </si>
  <si>
    <t>Presión requerida según orificio</t>
  </si>
  <si>
    <t>ρ/2·(Q/(Cd·A))²; modelo idealizado de orificio.</t>
  </si>
  <si>
    <t>Presión a caudal objetivo según fabricante</t>
  </si>
  <si>
    <t>Completar solo cuando se use el método Curva fabricante.</t>
  </si>
  <si>
    <t>Presión requerida seleccionada</t>
  </si>
  <si>
    <t>Fuente para balance total de presión de la red.</t>
  </si>
  <si>
    <t>Presión máxima admisible de la boquilla</t>
  </si>
  <si>
    <t>Verificar compatibilidad con presión disponible y química.</t>
  </si>
  <si>
    <t>Caudal nominal de boquilla</t>
  </si>
  <si>
    <t>Comparar con el caudal calculado y la curva de la bomba.</t>
  </si>
  <si>
    <t>RESUMEN INTEGRADO DE LA MEMORIA HIDRÁULICA</t>
  </si>
  <si>
    <t>Salidas preliminares del modo activo. Los resultados integrados de presión quedan en blanco hasta completar las entradas necesarias; los datos publicados de TRENT se usan solo como referencia.</t>
  </si>
  <si>
    <t>Indicador</t>
  </si>
  <si>
    <t>Resultado</t>
  </si>
  <si>
    <t>Criterio / lectura</t>
  </si>
  <si>
    <t>Estado / observación</t>
  </si>
  <si>
    <t>Escenario elegido</t>
  </si>
  <si>
    <t>Cambie Datos_base!B5 para estudiar otra etapa.</t>
  </si>
  <si>
    <t>Caudal de agua activo</t>
  </si>
  <si>
    <t>Caudal que atraviesa bomba</t>
  </si>
  <si>
    <t>Inicialmente deriva del dato publicado de 7 L/min; confirmar.</t>
  </si>
  <si>
    <t>Caudal aspirado</t>
  </si>
  <si>
    <t>Solo aplica en Prelavado, Jabón y Cera.</t>
  </si>
  <si>
    <t>Caudal de mezcla</t>
  </si>
  <si>
    <t>Caudal total aguas abajo del Venturi</t>
  </si>
  <si>
    <t>Incluye producto si está activado.</t>
  </si>
  <si>
    <t>Frontera térmica</t>
  </si>
  <si>
    <t>Supuesto inicial editable.</t>
  </si>
  <si>
    <t>Temperatura objetivo de calentador</t>
  </si>
  <si>
    <t>Requerimiento térmico</t>
  </si>
  <si>
    <t>No autoriza calentar antes de la HLT395.</t>
  </si>
  <si>
    <t>Potencia térmica requerida</t>
  </si>
  <si>
    <t>Potencia sensible mínima</t>
  </si>
  <si>
    <t>No incluye pérdidas ni eficiencia del calentador.</t>
  </si>
  <si>
    <t>Presión requerida en boquilla</t>
  </si>
  <si>
    <t>Presión para el caudal y boquilla seleccionados</t>
  </si>
  <si>
    <t>Depende de orificio/Cd o curva de fabricante.</t>
  </si>
  <si>
    <t>Pérdida de tuberías antes Venturi</t>
  </si>
  <si>
    <t>Tramos antes del inyector</t>
  </si>
  <si>
    <t>Dar geometría a cada tramo.</t>
  </si>
  <si>
    <t>Pérdida del Venturi</t>
  </si>
  <si>
    <t>Componente</t>
  </si>
  <si>
    <t>Dato de fabricante/ensayo requerido.</t>
  </si>
  <si>
    <t>Pérdida de tuberías después Venturi</t>
  </si>
  <si>
    <t>Tramos hasta boquilla</t>
  </si>
  <si>
    <t>Incluye el tramo de manguera de 4 m si se mantiene.</t>
  </si>
  <si>
    <t>Presión requerida a descarga de bomba</t>
  </si>
  <si>
    <t>Balance: p_boquilla + pérdidas aguas abajo</t>
  </si>
  <si>
    <t>No incluye régimen transitorio de cierre.</t>
  </si>
  <si>
    <t>Presión requerida con margen</t>
  </si>
  <si>
    <t>Presión requerida × (1 + margen editable)</t>
  </si>
  <si>
    <t>Comparación preliminar con la presión nominal publicada.</t>
  </si>
  <si>
    <t>Presión nominal publicada de hidrolavadora</t>
  </si>
  <si>
    <t>Dato de referencia</t>
  </si>
  <si>
    <t>No sustituye la curva Q–P.</t>
  </si>
  <si>
    <t>Presión máxima publicada de hidrolavadora</t>
  </si>
  <si>
    <t>Límite reportado</t>
  </si>
  <si>
    <t>No se considera presión continua de diseño.</t>
  </si>
  <si>
    <t>Margen frente a presión nominal</t>
  </si>
  <si>
    <t>bar</t>
  </si>
  <si>
    <t>Presión nominal − requerida con margen</t>
  </si>
  <si>
    <t>Debe ser no negativo y luego validarse con la curva oficial.</t>
  </si>
  <si>
    <t>Estado del presupuesto de presión</t>
  </si>
  <si>
    <t>Comparación preliminar</t>
  </si>
  <si>
    <t>Solo evaluable tras completar geometría, Venturi, pistola y boquilla.</t>
  </si>
  <si>
    <t>Presión absoluta estimada a la succión</t>
  </si>
  <si>
    <t>Condición de entrada de bomba</t>
  </si>
  <si>
    <t>Depende de presión real de suministro, pérdidas y desnivel.</t>
  </si>
  <si>
    <t>Margen frente a presión de vapor</t>
  </si>
  <si>
    <t>Debe compararse contra NPSHr + reserva de diseño.</t>
  </si>
  <si>
    <t>Dato fabricante</t>
  </si>
  <si>
    <t>Pendiente si no se dispone de valor.</t>
  </si>
  <si>
    <t>NPSHa − NPSHr − reserva</t>
  </si>
  <si>
    <t>Criterio preliminar NPSH</t>
  </si>
  <si>
    <t>Debe ser positivo con criterio de diseño establecido.</t>
  </si>
  <si>
    <t>Estado NPSH</t>
  </si>
  <si>
    <t>Ver Alimentacion</t>
  </si>
  <si>
    <t>No considerarlo verificado sin datos del fabricante.</t>
  </si>
  <si>
    <t>Estado de geometría activa</t>
  </si>
  <si>
    <t>Ver Tuberias</t>
  </si>
  <si>
    <t>Completar longitudes, diámetros y rugosidad.</t>
  </si>
  <si>
    <t>ESTACIONES DE CÁLCULO Y VARIABLES DEL FLUJO</t>
  </si>
  <si>
    <t>Mapa de nodos para conectar los balances. Presiones de descarga basadas en valores publicados son referencias provisionales; las presiones locales del Venturi exigen datos o mediciones.</t>
  </si>
  <si>
    <t>Estación</t>
  </si>
  <si>
    <t>P manométrica (bar)</t>
  </si>
  <si>
    <t>P absoluta (kPa)</t>
  </si>
  <si>
    <t>T (°C)</t>
  </si>
  <si>
    <t>Q (L/min)</t>
  </si>
  <si>
    <t>rho (kg/m³)</t>
  </si>
  <si>
    <t>A / Diám. dato</t>
  </si>
  <si>
    <t>v (m/s)</t>
  </si>
  <si>
    <t>z relativa (m)</t>
  </si>
  <si>
    <t>Fuente / estado</t>
  </si>
  <si>
    <t>N0</t>
  </si>
  <si>
    <t>Acometida antes de tubería/filtro</t>
  </si>
  <si>
    <t>Presión dinámica de entrada medida.</t>
  </si>
  <si>
    <t>N1</t>
  </si>
  <si>
    <t>Salida de filtro</t>
  </si>
  <si>
    <t>Restar pérdida de T-01 y del filtro.</t>
  </si>
  <si>
    <t>N2</t>
  </si>
  <si>
    <t>Salida calentador / brida succión bomba</t>
  </si>
  <si>
    <t>Condición crítica para NPSH; temperatura compatible obligatoria.</t>
  </si>
  <si>
    <t>N3</t>
  </si>
  <si>
    <t>Descarga de bomba</t>
  </si>
  <si>
    <t>Presión nominal publicada usada como referencia; falta curva Q–P.</t>
  </si>
  <si>
    <t>Nt</t>
  </si>
  <si>
    <t>Garganta / puerto de aspiración Venturi</t>
  </si>
  <si>
    <t>Agua + químico aspirado</t>
  </si>
  <si>
    <t>Geometría no definida</t>
  </si>
  <si>
    <t>Presión de garganta por fabricante o medición; no calculada idealmente.</t>
  </si>
  <si>
    <t>N4</t>
  </si>
  <si>
    <t>Salida Venturi / mezcla</t>
  </si>
  <si>
    <t>Presión estimada = entrada Venturi menos ΔP de inyector.</t>
  </si>
  <si>
    <t>N5</t>
  </si>
  <si>
    <t>Entrada de pistola</t>
  </si>
  <si>
    <t>Restar pérdida del tramo Venturi-pistola.</t>
  </si>
  <si>
    <t>N6</t>
  </si>
  <si>
    <t>Entrada de boquilla</t>
  </si>
  <si>
    <t>Presión disponible de bomba menos todas las pérdidas del recorrido.</t>
  </si>
  <si>
    <t>N7</t>
  </si>
  <si>
    <t>Salida libre de boquilla</t>
  </si>
  <si>
    <t>Descarga al ambiente; presión manométrica ≈ 0.</t>
  </si>
  <si>
    <t>Advertencia: las presiones N3–N6 emplean la presión nominal publicada como referencia y no representan resultados definitivos hasta validar la curva de bomba y las pérdidas de todos los componentes. El nodo Nt (garganta Venturi) requiere ficha/medición.</t>
  </si>
  <si>
    <t>MATRIZ DE VERIFICACIÓN Y DATOS POR CERRAR</t>
  </si>
  <si>
    <t>Checklist para cerrar las incógnitas del modelo y preparar los ensayos de verificación del prototipo.</t>
  </si>
  <si>
    <t>Elemento / riesgo</t>
  </si>
  <si>
    <t>Criterio o requisito</t>
  </si>
  <si>
    <t>Dato / evidencia requerida</t>
  </si>
  <si>
    <t>Estado inicial</t>
  </si>
  <si>
    <t>Prioridad</t>
  </si>
  <si>
    <t>V-01</t>
  </si>
  <si>
    <t>Acometida</t>
  </si>
  <si>
    <t>Presión dinámica y caudal suficientes en condición real.</t>
  </si>
  <si>
    <t>Medir presión con caudal circulando y registrar variación min/nom/max.</t>
  </si>
  <si>
    <t>Pendiente</t>
  </si>
  <si>
    <t>Alta</t>
  </si>
  <si>
    <t>V-02</t>
  </si>
  <si>
    <t>Pérdida de presión compatible con succión y caudal.</t>
  </si>
  <si>
    <t>Curva ΔP–Q, capacidad de filtración y estado de carga.</t>
  </si>
  <si>
    <t>V-03</t>
  </si>
  <si>
    <t>Pérdida de presión, potencia térmica y temperatura compatibles.</t>
  </si>
  <si>
    <t>Ficha técnica, ΔP–Q y potencia útil.</t>
  </si>
  <si>
    <t>Crítica</t>
  </si>
  <si>
    <t>V-05</t>
  </si>
  <si>
    <t>Punto de operación real dentro de límites de presión, caudal y temperatura.</t>
  </si>
  <si>
    <t>Curva Q–P, temperatura admisible, NPSHr si disponible y método de protección.</t>
  </si>
  <si>
    <t>V-06</t>
  </si>
  <si>
    <t>NPSH</t>
  </si>
  <si>
    <t>NPSHa &gt; NPSHr + reserva de diseño definida.</t>
  </si>
  <si>
    <t>Presión suministro, pérdidas de succión, cota, temperatura, NPSHr y criterio de margen.</t>
  </si>
  <si>
    <t>V-07</t>
  </si>
  <si>
    <t>Aspiración del producto en el caudal y contrapresión reales.</t>
  </si>
  <si>
    <t>Modelo exacto, curva Q agua/Q químico vs presión/contrapresión y pérdida de presión.</t>
  </si>
  <si>
    <t>V-08</t>
  </si>
  <si>
    <t>Línea de químicos</t>
  </si>
  <si>
    <t>Dosificación repetible y compatible con propiedades del producto.</t>
  </si>
  <si>
    <t>Densidad, viscosidad, longitud, diámetro, accesorios y ensayo volumétrico.</t>
  </si>
  <si>
    <t>V-09</t>
  </si>
  <si>
    <t>Tuberías flexibles</t>
  </si>
  <si>
    <t>Pérdida de presión calculada con diámetro interno real y ΣK.</t>
  </si>
  <si>
    <t>Longitudes, diámetros, rugosidad, radios de curvatura, acoples y elevaciones.</t>
  </si>
  <si>
    <t>V-10</t>
  </si>
  <si>
    <t>Manguera y pistola</t>
  </si>
  <si>
    <t>Presión/temperatura nominales apropiadas; pérdida estimada en apertura.</t>
  </si>
  <si>
    <t>Ficha de presión y temperatura, curva o prueba de ΔP; clasificación de conectores.</t>
  </si>
  <si>
    <t>V-11</t>
  </si>
  <si>
    <t>Caudal, presión y patrón de aspersión adecuados.</t>
  </si>
  <si>
    <t>Número/modelo de boquilla, tabla presión–caudal, ángulo y límite de presión.</t>
  </si>
  <si>
    <t>V-13</t>
  </si>
  <si>
    <t>Presión máxima de toda la red</t>
  </si>
  <si>
    <t>Todo componente debe soportar presión máxima previsible, incluidos fallos y bloqueo.</t>
  </si>
  <si>
    <t>Rating de todos los tubos, acoples, filtro, calentador, inyector, pistola y boquilla.</t>
  </si>
  <si>
    <t>V-14</t>
  </si>
  <si>
    <t>Validación de caudal</t>
  </si>
  <si>
    <t>Caudal medido debe concordar con la predicción dentro de tolerancia definida.</t>
  </si>
  <si>
    <t>Caudalímetro o recipiente graduado/cronómetro, presión y modo simultáneos.</t>
  </si>
  <si>
    <t>Media</t>
  </si>
  <si>
    <t>V-15</t>
  </si>
  <si>
    <t>Estanqueidad</t>
  </si>
  <si>
    <t>Sin fugas a la presión de prueba definida de forma segura.</t>
  </si>
  <si>
    <t>Procedimiento de ensayo, equipo de protección y registro de resultados.</t>
  </si>
  <si>
    <t>V-16</t>
  </si>
  <si>
    <t>Temperatura en mezcla</t>
  </si>
  <si>
    <t>Temperatura limitada a la admisible por todos los componentes/productos.</t>
  </si>
  <si>
    <t>Sensores a salida del calentador, succión, salida bomba y boquilla; criterio de aceptación.</t>
  </si>
  <si>
    <t>FUENTES Y TRAZABILIDAD DE DATOS</t>
  </si>
  <si>
    <t>Separar datos medidos, datos oficiales de fabricante, datos de distribuidor y supuestos de ingeniería. Actualizar cuando se obtengan fichas técnicas definitivas.</t>
  </si>
  <si>
    <t>Fuente</t>
  </si>
  <si>
    <t>Dato usado / utilidad</t>
  </si>
  <si>
    <t>URL</t>
  </si>
  <si>
    <t>Limitación</t>
  </si>
  <si>
    <t>S-01</t>
  </si>
  <si>
    <t>Listado de venta TRENT HLT395 (Mercado Libre)</t>
  </si>
  <si>
    <t>2100 W, 110 bar nominal, 150 bar máximo, 7 L/min, 110 V, 50 °C máximo reportado, no apta para agua caliente según ficha de venta.</t>
  </si>
  <si>
    <t>No es ficha oficial de fabricante. Datos pueden no corresponder al mismo punto de operación; debe solicitarse manual/confirmación.</t>
  </si>
  <si>
    <t>S-02</t>
  </si>
  <si>
    <t>Describe funcionamiento y uso de inyectores químicos Venturi.</t>
  </si>
  <si>
    <t>https://www.aqbasociados.com.co/producto/inyectores-quimicos-venturi/</t>
  </si>
  <si>
    <t>El contenido visible consultado no expone modelo exacto, curvas presión–caudal ni curva de aspiración.</t>
  </si>
  <si>
    <t>S-03</t>
  </si>
  <si>
    <t>Principio de Darcy–Weisbach</t>
  </si>
  <si>
    <t>Pérdida por fricción en tubería recta: hf = f(L/Di)(v²/2g).</t>
  </si>
  <si>
    <t>Ecuación general de mecánica de fluidos; definir rugosidad y factor Darcy.</t>
  </si>
  <si>
    <t>Asegurar que f sea factor Darcy, no Fanning. Para transición, la aproximación de f puede ser limitada.</t>
  </si>
  <si>
    <t>S-04</t>
  </si>
  <si>
    <t>Pérdidas menores</t>
  </si>
  <si>
    <t>hK = ΣK·v²/(2g), con coeficientes consistentes con accesorios y régimen.</t>
  </si>
  <si>
    <t>Datos de fabricante / manuales de pérdida de carga / literatura hidráulica.</t>
  </si>
  <si>
    <t>Evitar contar dos veces una pérdida si ya se usa la curva del componente.</t>
  </si>
  <si>
    <t>S-05</t>
  </si>
  <si>
    <t>NPSHa calculada con presión absoluta en succión y presión de vapor a la temperatura correspondiente.</t>
  </si>
  <si>
    <t>Manual del fabricante de bomba y criterios de diseño aplicables.</t>
  </si>
  <si>
    <t>Requiere NPSHr del equipo y margen de diseño documentado.</t>
  </si>
  <si>
    <t>S-06</t>
  </si>
  <si>
    <t>Propiedades de agua</t>
  </si>
  <si>
    <t>Correlaciones empíricas implementadas en hoja Propiedades para densidad, viscosidad y presión de vapor.</t>
  </si>
  <si>
    <t>Correlaciones aproximadas para agua líquida; Antoine para presión de vapor.</t>
  </si>
  <si>
    <t>No usar fuera de los rangos de temperatura indicados ni para fluidos químicos sin validar.</t>
  </si>
  <si>
    <t>N/A</t>
  </si>
  <si>
    <t>3/4"</t>
  </si>
  <si>
    <t>Inyector chino</t>
  </si>
  <si>
    <t>-</t>
  </si>
  <si>
    <t>Medicion</t>
  </si>
  <si>
    <t>Toca medirlo, pq no lo sabemos</t>
  </si>
  <si>
    <t>reemplazar con coeficiente/curva del fabricante.</t>
  </si>
  <si>
    <t>Boquilla de alta presión</t>
  </si>
  <si>
    <t>https://www.mercadolibre.com.co/hidrolavadora-electrica-alta-presion-130-bar-electrica-industrial-trent-1800w-1885-psi-con-accesorios-pistola-60hz/p/MCO78449095#reco_item_pos=1&amp;reco_backend=item_decorator&amp;reco_backend_type=function&amp;reco_client=home_items-decorator-legacy&amp;reco_id=5c3034dd-9c3a-4f4b-a23e-6191a19b2c2d&amp;reco_model=&amp;c_id=/home/bookmarks-recommendations-seed/element&amp;c_uid=3743263e-5d70-4ddf-bfb0-da32470ee0a0&amp;da_id=bookmark&amp;da_position=1&amp;id_origin=/home/dynamic_access&amp;da_sort_algorithm=ranker</t>
  </si>
  <si>
    <t>20 % preliminar para comparación; confirmar según criterio de diseño. No reemplaza margen del fabricante.</t>
  </si>
  <si>
    <t>Conversión a pulgadas</t>
  </si>
  <si>
    <t>1.15 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</si>
</sst>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
    <numFmt numFmtId="165" formatCode="0.000000"/>
    <numFmt numFmtId="166" formatCode="0.0%"/>
  </numFmts>
  <fonts count="14">
    <font>
      <sz val="11"/>
      <name val="Carlito"/>
    </font>
    <font>
      <b/>
      <sz val="11"/>
      <color rgb="FFFFFFFF"/>
      <name val="Carlito"/>
    </font>
    <font>
      <i/>
      <sz val="11"/>
      <color rgb="FF1F1F1F"/>
      <name val="Carlito"/>
    </font>
    <font>
      <b/>
      <sz val="11"/>
      <name val="Carlito"/>
    </font>
    <font>
      <b/>
      <sz val="11"/>
      <color rgb="FF9C0006"/>
      <name val="Carlito"/>
    </font>
    <font>
      <sz val="11"/>
      <color rgb="FF0000CC"/>
      <name val="Carlito"/>
    </font>
    <font>
      <sz val="11"/>
      <color rgb="FF006100"/>
      <name val="Carlito"/>
    </font>
    <font>
      <sz val="11"/>
      <color rgb="FF7F6000"/>
      <name val="Carlito"/>
    </font>
    <font>
      <b/>
      <sz val="11"/>
      <color rgb="FF7F6000"/>
      <name val="Carlito"/>
    </font>
    <font>
      <sz val="11"/>
      <color rgb="FF0563C1"/>
      <name val="Carlito"/>
    </font>
    <font>
      <b/>
      <sz val="11"/>
      <color rgb="FF1F1F1F"/>
      <name val="Carlito"/>
    </font>
    <font>
      <sz val="11"/>
      <name val="Carlito"/>
    </font>
    <font>
      <u/>
      <sz val="11"/>
      <color rgb="FF7F6000"/>
      <name val="Carlito"/>
    </font>
    <font>
      <u/>
      <sz val="11"/>
      <name val="Carlito"/>
    </font>
  </fonts>
  <fills count="11">
    <fill>
      <patternFill patternType="none"/>
    </fill>
    <fill>
      <patternFill patternType="gray125"/>
    </fill>
    <fill>
      <patternFill patternType="solid">
        <fgColor rgb="FF17365D"/>
      </patternFill>
    </fill>
    <fill>
      <patternFill patternType="solid">
        <fgColor rgb="FFEAF0F7"/>
      </patternFill>
    </fill>
    <fill>
      <patternFill patternType="solid">
        <fgColor rgb="FFF2F2F2"/>
      </patternFill>
    </fill>
    <fill>
      <patternFill patternType="solid">
        <fgColor rgb="FFFCE4D6"/>
      </patternFill>
    </fill>
    <fill>
      <patternFill patternType="solid">
        <fgColor rgb="FFDDEBF7"/>
      </patternFill>
    </fill>
    <fill>
      <patternFill patternType="solid">
        <fgColor rgb="FFE2F0D9"/>
      </patternFill>
    </fill>
    <fill>
      <patternFill patternType="solid">
        <fgColor rgb="FFFFF2CC"/>
      </patternFill>
    </fill>
    <fill>
      <patternFill patternType="solid">
        <fgColor rgb="FFFFFFFF"/>
      </patternFill>
    </fill>
    <fill>
      <patternFill patternType="solid">
        <fgColor rgb="FFFFFF00"/>
        <bgColor indexed="64"/>
      </patternFill>
    </fill>
  </fills>
  <borders count="1">
    <border>
      <left/>
      <right/>
      <top/>
      <bottom/>
      <diagonal/>
    </border>
  </borders>
  <cellStyleXfs count="2">
    <xf numFmtId="0" fontId="0" fillId="0" borderId="0"/>
    <xf numFmtId="43" fontId="11" fillId="0" borderId="0" applyFont="0" applyFill="0" applyBorder="0" applyAlignment="0" applyProtection="0"/>
  </cellStyleXfs>
  <cellXfs count="39">
    <xf numFmtId="0" fontId="0" fillId="0" borderId="0" xfId="0"/>
    <xf numFmtId="0" fontId="1" fillId="2" borderId="0" xfId="0" applyFont="1" applyFill="1" applyAlignment="1">
      <alignment horizontal="center" vertical="center" wrapText="1"/>
    </xf>
    <xf numFmtId="0" fontId="0" fillId="0" borderId="0" xfId="0" applyAlignment="1">
      <alignment vertical="center" wrapText="1"/>
    </xf>
    <xf numFmtId="0" fontId="0" fillId="4" borderId="0" xfId="0" applyFill="1" applyAlignment="1">
      <alignment vertical="center" wrapText="1"/>
    </xf>
    <xf numFmtId="0" fontId="3" fillId="4" borderId="0" xfId="0" applyFont="1" applyFill="1" applyAlignment="1">
      <alignment vertical="center" wrapText="1"/>
    </xf>
    <xf numFmtId="0" fontId="4" fillId="5" borderId="0" xfId="0" applyFont="1" applyFill="1" applyAlignment="1">
      <alignment vertical="center" wrapText="1"/>
    </xf>
    <xf numFmtId="0" fontId="5" fillId="6" borderId="0" xfId="0" applyFont="1" applyFill="1" applyAlignment="1">
      <alignment vertical="center" wrapText="1"/>
    </xf>
    <xf numFmtId="0" fontId="6" fillId="7" borderId="0" xfId="0" applyFont="1" applyFill="1" applyAlignment="1">
      <alignment vertical="center" wrapText="1"/>
    </xf>
    <xf numFmtId="0" fontId="7" fillId="8" borderId="0" xfId="0" applyFont="1" applyFill="1" applyAlignment="1">
      <alignment vertical="center" wrapText="1"/>
    </xf>
    <xf numFmtId="2" fontId="5" fillId="6" borderId="0" xfId="0" applyNumberFormat="1" applyFont="1" applyFill="1" applyAlignment="1">
      <alignment vertical="center" wrapText="1"/>
    </xf>
    <xf numFmtId="2" fontId="7" fillId="8" borderId="0" xfId="0" applyNumberFormat="1" applyFont="1" applyFill="1" applyAlignment="1">
      <alignment vertical="center" wrapText="1"/>
    </xf>
    <xf numFmtId="164" fontId="6" fillId="7" borderId="0" xfId="0" applyNumberFormat="1" applyFont="1" applyFill="1" applyAlignment="1">
      <alignment vertical="center" wrapText="1"/>
    </xf>
    <xf numFmtId="0" fontId="0" fillId="8" borderId="0" xfId="0" applyFill="1" applyAlignment="1">
      <alignment vertical="center" wrapText="1"/>
    </xf>
    <xf numFmtId="165" fontId="6" fillId="7" borderId="0" xfId="0" applyNumberFormat="1" applyFont="1" applyFill="1" applyAlignment="1">
      <alignment vertical="center" wrapText="1"/>
    </xf>
    <xf numFmtId="166" fontId="6" fillId="7" borderId="0" xfId="0" applyNumberFormat="1" applyFont="1" applyFill="1" applyAlignment="1">
      <alignment vertical="center" wrapText="1"/>
    </xf>
    <xf numFmtId="164" fontId="5" fillId="6" borderId="0" xfId="0" applyNumberFormat="1" applyFont="1" applyFill="1" applyAlignment="1">
      <alignment vertical="center" wrapText="1"/>
    </xf>
    <xf numFmtId="164" fontId="6" fillId="8" borderId="0" xfId="0" applyNumberFormat="1" applyFont="1" applyFill="1" applyAlignment="1">
      <alignment vertical="center" wrapText="1"/>
    </xf>
    <xf numFmtId="2" fontId="6" fillId="7" borderId="0" xfId="0" applyNumberFormat="1" applyFont="1" applyFill="1" applyAlignment="1">
      <alignment vertical="center" wrapText="1"/>
    </xf>
    <xf numFmtId="2" fontId="6" fillId="8" borderId="0" xfId="0" applyNumberFormat="1" applyFont="1" applyFill="1" applyAlignment="1">
      <alignment vertical="center" wrapText="1"/>
    </xf>
    <xf numFmtId="0" fontId="3" fillId="8" borderId="0" xfId="0" applyFont="1" applyFill="1" applyAlignment="1">
      <alignment vertical="center" wrapText="1"/>
    </xf>
    <xf numFmtId="0" fontId="9" fillId="0" borderId="0" xfId="0" applyFont="1" applyAlignment="1">
      <alignment vertical="center" wrapText="1"/>
    </xf>
    <xf numFmtId="0" fontId="6" fillId="7" borderId="0" xfId="0" applyFont="1" applyFill="1" applyAlignment="1">
      <alignment wrapText="1"/>
    </xf>
    <xf numFmtId="0" fontId="10" fillId="9" borderId="0" xfId="0" applyFont="1" applyFill="1" applyAlignment="1">
      <alignment vertical="center" wrapText="1"/>
    </xf>
    <xf numFmtId="0" fontId="1" fillId="2" borderId="0" xfId="0" applyFont="1" applyFill="1" applyAlignment="1">
      <alignment horizontal="left" vertical="center" wrapText="1"/>
    </xf>
    <xf numFmtId="0" fontId="2" fillId="3" borderId="0" xfId="0" applyFont="1" applyFill="1" applyAlignment="1">
      <alignment vertical="center" wrapText="1"/>
    </xf>
    <xf numFmtId="0" fontId="0" fillId="4" borderId="0" xfId="0" applyFill="1" applyAlignment="1">
      <alignment vertical="center" wrapText="1"/>
    </xf>
    <xf numFmtId="0" fontId="1" fillId="2" borderId="0" xfId="0" applyFont="1" applyFill="1" applyAlignment="1">
      <alignment vertical="center" wrapText="1"/>
    </xf>
    <xf numFmtId="0" fontId="8" fillId="8" borderId="0" xfId="0" applyFont="1" applyFill="1" applyAlignment="1">
      <alignment vertical="center" wrapText="1"/>
    </xf>
    <xf numFmtId="0" fontId="5" fillId="6" borderId="0" xfId="0" applyFont="1" applyFill="1" applyAlignment="1">
      <alignment horizontal="right" vertical="center" wrapText="1"/>
    </xf>
    <xf numFmtId="16" fontId="5" fillId="6" borderId="0" xfId="0" applyNumberFormat="1" applyFont="1" applyFill="1" applyAlignment="1">
      <alignment horizontal="right" vertical="center" wrapText="1"/>
    </xf>
    <xf numFmtId="0" fontId="6" fillId="7" borderId="0" xfId="0" applyFont="1" applyFill="1" applyAlignment="1">
      <alignment horizontal="right" vertical="center" wrapText="1"/>
    </xf>
    <xf numFmtId="0" fontId="12" fillId="8" borderId="0" xfId="0" applyFont="1" applyFill="1" applyAlignment="1">
      <alignment vertical="center" wrapText="1"/>
    </xf>
    <xf numFmtId="0" fontId="13" fillId="0" borderId="0" xfId="0" applyFont="1"/>
    <xf numFmtId="43" fontId="0" fillId="0" borderId="0" xfId="1" applyFont="1"/>
    <xf numFmtId="43" fontId="0" fillId="0" borderId="0" xfId="0" applyNumberFormat="1"/>
    <xf numFmtId="43" fontId="5" fillId="6" borderId="0" xfId="0" applyNumberFormat="1" applyFont="1" applyFill="1" applyAlignment="1">
      <alignment vertical="center" wrapText="1"/>
    </xf>
    <xf numFmtId="0" fontId="13" fillId="8" borderId="0" xfId="0" applyFont="1" applyFill="1" applyAlignment="1">
      <alignment vertical="center" wrapText="1"/>
    </xf>
    <xf numFmtId="0" fontId="0" fillId="10" borderId="0" xfId="0" applyFill="1" applyAlignment="1">
      <alignment vertical="center" wrapText="1"/>
    </xf>
    <xf numFmtId="0" fontId="13" fillId="0" borderId="0" xfId="0" applyFont="1" applyAlignment="1">
      <alignment vertical="center" wrapText="1"/>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1135381</xdr:colOff>
      <xdr:row>14</xdr:row>
      <xdr:rowOff>172026</xdr:rowOff>
    </xdr:from>
    <xdr:to>
      <xdr:col>8</xdr:col>
      <xdr:colOff>312425</xdr:colOff>
      <xdr:row>22</xdr:row>
      <xdr:rowOff>160020</xdr:rowOff>
    </xdr:to>
    <xdr:pic>
      <xdr:nvPicPr>
        <xdr:cNvPr id="2" name="Imagen 1">
          <a:extLst>
            <a:ext uri="{FF2B5EF4-FFF2-40B4-BE49-F238E27FC236}">
              <a16:creationId xmlns:a16="http://schemas.microsoft.com/office/drawing/2014/main" id="{974EF780-AD1C-8558-7C93-2CB87A3FDF5F}"/>
            </a:ext>
          </a:extLst>
        </xdr:cNvPr>
        <xdr:cNvPicPr>
          <a:picLocks noChangeAspect="1"/>
        </xdr:cNvPicPr>
      </xdr:nvPicPr>
      <xdr:blipFill>
        <a:blip xmlns:r="http://schemas.openxmlformats.org/officeDocument/2006/relationships" r:embed="rId1"/>
        <a:stretch>
          <a:fillRect/>
        </a:stretch>
      </xdr:blipFill>
      <xdr:spPr>
        <a:xfrm>
          <a:off x="8069581" y="3265746"/>
          <a:ext cx="4587244" cy="1390074"/>
        </a:xfrm>
        <a:prstGeom prst="rect">
          <a:avLst/>
        </a:prstGeom>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workbookViewId="0">
      <pane ySplit="4" topLeftCell="A13" activePane="bottomLeft" state="frozen"/>
      <selection pane="bottomLeft" activeCell="B9" sqref="B9"/>
    </sheetView>
  </sheetViews>
  <sheetFormatPr baseColWidth="10" defaultColWidth="8.796875" defaultRowHeight="13.8"/>
  <cols>
    <col min="1" max="1" width="24" customWidth="1"/>
    <col min="2" max="2" width="105" customWidth="1"/>
    <col min="3" max="8" width="16" customWidth="1"/>
  </cols>
  <sheetData>
    <row r="1" spans="1:8" ht="30" customHeight="1">
      <c r="A1" s="23" t="s">
        <v>0</v>
      </c>
      <c r="B1" s="23"/>
      <c r="C1" s="23"/>
      <c r="D1" s="23"/>
      <c r="E1" s="23"/>
      <c r="F1" s="23"/>
      <c r="G1" s="23"/>
      <c r="H1" s="23"/>
    </row>
    <row r="2" spans="1:8" ht="31.95" customHeight="1">
      <c r="A2" s="24" t="s">
        <v>1</v>
      </c>
      <c r="B2" s="24"/>
      <c r="C2" s="24"/>
      <c r="D2" s="24"/>
      <c r="E2" s="24"/>
      <c r="F2" s="24"/>
      <c r="G2" s="24"/>
      <c r="H2" s="24"/>
    </row>
    <row r="4" spans="1:8" ht="30" customHeight="1">
      <c r="A4" s="1" t="s">
        <v>2</v>
      </c>
      <c r="B4" s="1" t="s">
        <v>3</v>
      </c>
    </row>
    <row r="5" spans="1:8" ht="27.6">
      <c r="A5" s="4" t="s">
        <v>4</v>
      </c>
      <c r="B5" s="2" t="s">
        <v>5</v>
      </c>
    </row>
    <row r="6" spans="1:8" ht="27.6">
      <c r="A6" s="4" t="s">
        <v>6</v>
      </c>
      <c r="B6" s="2" t="s">
        <v>7</v>
      </c>
    </row>
    <row r="7" spans="1:8" ht="27.6">
      <c r="A7" s="4" t="s">
        <v>8</v>
      </c>
      <c r="B7" s="2" t="s">
        <v>9</v>
      </c>
    </row>
    <row r="8" spans="1:8" ht="27.6">
      <c r="A8" s="4" t="s">
        <v>10</v>
      </c>
      <c r="B8" s="2" t="s">
        <v>11</v>
      </c>
    </row>
    <row r="9" spans="1:8" ht="41.4">
      <c r="A9" s="4" t="s">
        <v>12</v>
      </c>
      <c r="B9" s="2" t="s">
        <v>13</v>
      </c>
    </row>
    <row r="10" spans="1:8" ht="27.6">
      <c r="A10" s="4" t="s">
        <v>14</v>
      </c>
      <c r="B10" s="2" t="s">
        <v>15</v>
      </c>
    </row>
    <row r="11" spans="1:8" ht="41.4">
      <c r="A11" s="4" t="s">
        <v>16</v>
      </c>
      <c r="B11" s="5" t="s">
        <v>17</v>
      </c>
    </row>
    <row r="12" spans="1:8" ht="41.4">
      <c r="A12" s="4" t="s">
        <v>18</v>
      </c>
      <c r="B12" s="22" t="s">
        <v>19</v>
      </c>
    </row>
    <row r="13" spans="1:8" ht="27.6">
      <c r="A13" s="4" t="s">
        <v>20</v>
      </c>
      <c r="B13" s="2" t="s">
        <v>21</v>
      </c>
    </row>
    <row r="14" spans="1:8" ht="41.4">
      <c r="A14" s="4" t="s">
        <v>22</v>
      </c>
      <c r="B14" s="2" t="s">
        <v>23</v>
      </c>
    </row>
    <row r="15" spans="1:8" ht="27.6">
      <c r="A15" s="4" t="s">
        <v>24</v>
      </c>
      <c r="B15" s="2" t="s">
        <v>25</v>
      </c>
    </row>
    <row r="16" spans="1:8" ht="27.6">
      <c r="A16" s="4" t="s">
        <v>26</v>
      </c>
      <c r="B16" s="2" t="s">
        <v>27</v>
      </c>
    </row>
    <row r="17" spans="1:2" ht="27.6">
      <c r="A17" s="4" t="s">
        <v>28</v>
      </c>
      <c r="B17" s="2" t="s">
        <v>29</v>
      </c>
    </row>
  </sheetData>
  <mergeCells count="2">
    <mergeCell ref="A1:H1"/>
    <mergeCell ref="A2:H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3"/>
  <sheetViews>
    <sheetView workbookViewId="0">
      <pane ySplit="4" topLeftCell="A5" activePane="bottomLeft" state="frozen"/>
      <selection pane="bottomLeft" activeCell="B22" sqref="B22"/>
    </sheetView>
  </sheetViews>
  <sheetFormatPr baseColWidth="10" defaultColWidth="8.796875" defaultRowHeight="13.8"/>
  <cols>
    <col min="1" max="1" width="42" customWidth="1"/>
    <col min="2" max="2" width="34" customWidth="1"/>
    <col min="3" max="3" width="16" customWidth="1"/>
    <col min="4" max="4" width="25" customWidth="1"/>
    <col min="5" max="5" width="88" customWidth="1"/>
  </cols>
  <sheetData>
    <row r="1" spans="1:5" ht="30" customHeight="1">
      <c r="A1" s="23" t="s">
        <v>30</v>
      </c>
      <c r="B1" s="23"/>
      <c r="C1" s="23"/>
      <c r="D1" s="23"/>
      <c r="E1" s="23"/>
    </row>
    <row r="2" spans="1:5" ht="31.95" customHeight="1">
      <c r="A2" s="24" t="s">
        <v>31</v>
      </c>
      <c r="B2" s="24"/>
      <c r="C2" s="24"/>
      <c r="D2" s="24"/>
      <c r="E2" s="24"/>
    </row>
    <row r="4" spans="1:5" ht="30" customHeight="1">
      <c r="A4" s="1" t="s">
        <v>32</v>
      </c>
      <c r="B4" s="1" t="s">
        <v>33</v>
      </c>
      <c r="C4" s="1" t="s">
        <v>34</v>
      </c>
      <c r="D4" s="1" t="s">
        <v>35</v>
      </c>
      <c r="E4" s="1" t="s">
        <v>36</v>
      </c>
    </row>
    <row r="5" spans="1:5">
      <c r="A5" s="4" t="s">
        <v>37</v>
      </c>
      <c r="B5" s="6" t="s">
        <v>38</v>
      </c>
      <c r="C5" s="2" t="s">
        <v>39</v>
      </c>
      <c r="D5" s="2" t="s">
        <v>40</v>
      </c>
      <c r="E5" s="2" t="s">
        <v>41</v>
      </c>
    </row>
    <row r="6" spans="1:5">
      <c r="A6" s="4" t="s">
        <v>42</v>
      </c>
      <c r="B6" s="9">
        <v>9.81</v>
      </c>
      <c r="C6" s="2" t="s">
        <v>43</v>
      </c>
      <c r="D6" s="2" t="s">
        <v>44</v>
      </c>
      <c r="E6" s="2" t="s">
        <v>45</v>
      </c>
    </row>
    <row r="7" spans="1:5">
      <c r="A7" s="4" t="s">
        <v>46</v>
      </c>
      <c r="B7" s="10">
        <v>74</v>
      </c>
      <c r="C7" s="2" t="s">
        <v>47</v>
      </c>
      <c r="D7" s="2" t="s">
        <v>48</v>
      </c>
      <c r="E7" s="2" t="s">
        <v>49</v>
      </c>
    </row>
    <row r="8" spans="1:5">
      <c r="A8" s="4" t="s">
        <v>50</v>
      </c>
      <c r="B8" s="9">
        <v>1.5</v>
      </c>
      <c r="C8" s="2" t="s">
        <v>51</v>
      </c>
      <c r="D8" s="2" t="s">
        <v>52</v>
      </c>
      <c r="E8" s="2" t="s">
        <v>53</v>
      </c>
    </row>
    <row r="9" spans="1:5">
      <c r="A9" s="4" t="s">
        <v>54</v>
      </c>
      <c r="B9" s="10">
        <v>15</v>
      </c>
      <c r="C9" s="2" t="s">
        <v>55</v>
      </c>
      <c r="D9" s="2" t="s">
        <v>48</v>
      </c>
      <c r="E9" s="2" t="s">
        <v>56</v>
      </c>
    </row>
    <row r="10" spans="1:5">
      <c r="A10" s="4" t="s">
        <v>57</v>
      </c>
      <c r="B10" s="10">
        <v>7</v>
      </c>
      <c r="C10" s="2" t="s">
        <v>58</v>
      </c>
      <c r="D10" s="2" t="s">
        <v>59</v>
      </c>
      <c r="E10" s="2" t="s">
        <v>60</v>
      </c>
    </row>
    <row r="11" spans="1:5">
      <c r="A11" s="4" t="s">
        <v>61</v>
      </c>
      <c r="B11" s="10">
        <v>4180</v>
      </c>
      <c r="C11" s="2" t="s">
        <v>62</v>
      </c>
      <c r="D11" s="2" t="s">
        <v>48</v>
      </c>
      <c r="E11" s="2" t="s">
        <v>63</v>
      </c>
    </row>
    <row r="12" spans="1:5" ht="27.6">
      <c r="A12" s="4" t="s">
        <v>64</v>
      </c>
      <c r="B12" s="9">
        <v>40</v>
      </c>
      <c r="C12" s="2" t="s">
        <v>55</v>
      </c>
      <c r="D12" s="2" t="s">
        <v>52</v>
      </c>
      <c r="E12" s="2" t="s">
        <v>65</v>
      </c>
    </row>
    <row r="13" spans="1:5" ht="27.6">
      <c r="A13" s="4" t="s">
        <v>66</v>
      </c>
      <c r="B13" s="10">
        <v>0.5</v>
      </c>
      <c r="C13" s="2" t="s">
        <v>67</v>
      </c>
      <c r="D13" s="2" t="s">
        <v>48</v>
      </c>
      <c r="E13" s="2" t="s">
        <v>68</v>
      </c>
    </row>
    <row r="14" spans="1:5">
      <c r="A14" s="4" t="s">
        <v>69</v>
      </c>
      <c r="B14" s="10">
        <v>0.2</v>
      </c>
      <c r="C14" s="2" t="s">
        <v>70</v>
      </c>
      <c r="D14" s="2" t="s">
        <v>48</v>
      </c>
      <c r="E14" s="2" t="s">
        <v>615</v>
      </c>
    </row>
    <row r="15" spans="1:5">
      <c r="A15" s="4" t="s">
        <v>71</v>
      </c>
      <c r="B15" s="9">
        <v>3</v>
      </c>
      <c r="C15" s="2" t="s">
        <v>67</v>
      </c>
      <c r="D15" s="2" t="s">
        <v>52</v>
      </c>
      <c r="E15" s="2" t="s">
        <v>72</v>
      </c>
    </row>
    <row r="16" spans="1:5">
      <c r="A16" s="4" t="s">
        <v>73</v>
      </c>
      <c r="B16" s="9">
        <v>12</v>
      </c>
      <c r="C16" s="2" t="s">
        <v>74</v>
      </c>
      <c r="D16" s="2" t="s">
        <v>52</v>
      </c>
      <c r="E16" s="2" t="s">
        <v>75</v>
      </c>
    </row>
    <row r="17" spans="1:5" ht="27.6">
      <c r="A17" s="4" t="s">
        <v>76</v>
      </c>
      <c r="B17" s="10">
        <v>50</v>
      </c>
      <c r="C17" s="2" t="s">
        <v>55</v>
      </c>
      <c r="D17" s="2" t="s">
        <v>77</v>
      </c>
      <c r="E17" s="2" t="s">
        <v>78</v>
      </c>
    </row>
    <row r="18" spans="1:5">
      <c r="A18" s="4" t="s">
        <v>79</v>
      </c>
      <c r="B18" s="11">
        <f>Propiedades!B7</f>
        <v>999.12854868827731</v>
      </c>
      <c r="C18" s="2" t="s">
        <v>80</v>
      </c>
      <c r="D18" s="2" t="s">
        <v>81</v>
      </c>
      <c r="E18" s="2" t="s">
        <v>82</v>
      </c>
    </row>
    <row r="19" spans="1:5">
      <c r="A19" s="4" t="s">
        <v>83</v>
      </c>
      <c r="B19" s="11">
        <f>Propiedades!B8</f>
        <v>1.1359686809680894E-3</v>
      </c>
      <c r="C19" s="2" t="s">
        <v>84</v>
      </c>
      <c r="D19" s="2" t="s">
        <v>81</v>
      </c>
      <c r="E19" s="2" t="s">
        <v>82</v>
      </c>
    </row>
    <row r="20" spans="1:5">
      <c r="A20" s="4" t="s">
        <v>85</v>
      </c>
      <c r="B20" s="11">
        <f>IFERROR(INDEX(Modos!$D$5:$D$9,MATCH($B$5,Modos!$A$5:$A$9,0)),$B$10)</f>
        <v>7</v>
      </c>
      <c r="C20" s="2" t="s">
        <v>58</v>
      </c>
      <c r="D20" s="2" t="s">
        <v>81</v>
      </c>
      <c r="E20" s="2" t="s">
        <v>86</v>
      </c>
    </row>
    <row r="21" spans="1:5">
      <c r="A21" s="4" t="s">
        <v>87</v>
      </c>
      <c r="B21" s="11">
        <f>IF($B$5="Pistola cerrada",0,IF(OR($B$5="Prelavado",$B$5="Jabón",$B$5="Cera"),IF(Venturi!$B$11="","",Venturi!$B$11),0))</f>
        <v>0</v>
      </c>
      <c r="C21" s="2" t="s">
        <v>58</v>
      </c>
      <c r="D21" s="2" t="s">
        <v>81</v>
      </c>
      <c r="E21" s="2" t="s">
        <v>88</v>
      </c>
    </row>
    <row r="22" spans="1:5">
      <c r="A22" s="4" t="s">
        <v>89</v>
      </c>
      <c r="B22" s="11">
        <f>IF($B$5="Pistola cerrada",0,IF(OR($B$5="Prelavado",$B$5="Jabón",$B$5="Cera"),IF(Venturi!$B$11="","",B20+Venturi!$B$11),B20))</f>
        <v>7</v>
      </c>
      <c r="C22" s="2" t="s">
        <v>58</v>
      </c>
      <c r="D22" s="2" t="s">
        <v>81</v>
      </c>
      <c r="E22" s="2" t="s">
        <v>90</v>
      </c>
    </row>
    <row r="23" spans="1:5">
      <c r="A23" s="4" t="s">
        <v>91</v>
      </c>
      <c r="B23" s="11">
        <f>IF(B12="",B9,B12)</f>
        <v>40</v>
      </c>
      <c r="C23" s="2" t="s">
        <v>55</v>
      </c>
      <c r="D23" s="2" t="s">
        <v>81</v>
      </c>
      <c r="E23" s="2" t="s">
        <v>92</v>
      </c>
    </row>
  </sheetData>
  <mergeCells count="2">
    <mergeCell ref="A1:E1"/>
    <mergeCell ref="A2:E2"/>
  </mergeCells>
  <dataValidations count="1">
    <dataValidation type="list" sqref="B5" xr:uid="{00000000-0002-0000-0100-000000000000}">
      <formula1>"Prelavado,Jabón,Enjuague,Cera,Pistola cerrada"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
  <sheetViews>
    <sheetView workbookViewId="0">
      <pane ySplit="4" topLeftCell="A5" activePane="bottomLeft" state="frozen"/>
      <selection pane="bottomLeft" activeCell="H7" sqref="H7"/>
    </sheetView>
  </sheetViews>
  <sheetFormatPr baseColWidth="10" defaultColWidth="8.796875" defaultRowHeight="13.8"/>
  <cols>
    <col min="1" max="1" width="20" customWidth="1"/>
    <col min="2" max="2" width="18" customWidth="1"/>
    <col min="3" max="4" width="24" customWidth="1"/>
    <col min="5" max="5" width="17" customWidth="1"/>
    <col min="6" max="6" width="18" customWidth="1"/>
    <col min="7" max="7" width="17" customWidth="1"/>
    <col min="8" max="8" width="31" customWidth="1"/>
    <col min="9" max="9" width="66" customWidth="1"/>
  </cols>
  <sheetData>
    <row r="1" spans="1:9" ht="30" customHeight="1">
      <c r="A1" s="23" t="s">
        <v>93</v>
      </c>
      <c r="B1" s="23"/>
      <c r="C1" s="23"/>
      <c r="D1" s="23"/>
      <c r="E1" s="23"/>
      <c r="F1" s="23"/>
      <c r="G1" s="23"/>
      <c r="H1" s="23"/>
      <c r="I1" s="23"/>
    </row>
    <row r="2" spans="1:9" ht="31.95" customHeight="1">
      <c r="A2" s="24" t="s">
        <v>94</v>
      </c>
      <c r="B2" s="24"/>
      <c r="C2" s="24"/>
      <c r="D2" s="24"/>
      <c r="E2" s="24"/>
      <c r="F2" s="24"/>
      <c r="G2" s="24"/>
      <c r="H2" s="24"/>
      <c r="I2" s="24"/>
    </row>
    <row r="4" spans="1:9" ht="30" customHeight="1">
      <c r="A4" s="1" t="s">
        <v>95</v>
      </c>
      <c r="B4" s="1" t="s">
        <v>96</v>
      </c>
      <c r="C4" s="1" t="s">
        <v>97</v>
      </c>
      <c r="D4" s="1" t="s">
        <v>98</v>
      </c>
      <c r="E4" s="1" t="s">
        <v>99</v>
      </c>
      <c r="F4" s="1" t="s">
        <v>100</v>
      </c>
      <c r="G4" s="1" t="s">
        <v>101</v>
      </c>
      <c r="H4" s="1" t="s">
        <v>102</v>
      </c>
      <c r="I4" s="1" t="s">
        <v>103</v>
      </c>
    </row>
    <row r="5" spans="1:9">
      <c r="A5" s="4" t="s">
        <v>104</v>
      </c>
      <c r="B5" s="6" t="s">
        <v>105</v>
      </c>
      <c r="C5" s="6" t="s">
        <v>104</v>
      </c>
      <c r="D5" s="7">
        <f>Datos_base!$B$10</f>
        <v>7</v>
      </c>
      <c r="E5" s="6">
        <v>40</v>
      </c>
      <c r="F5" s="6"/>
      <c r="G5" s="6" t="s">
        <v>106</v>
      </c>
      <c r="H5" s="6" t="s">
        <v>617</v>
      </c>
      <c r="I5" s="2"/>
    </row>
    <row r="6" spans="1:9">
      <c r="A6" s="4" t="s">
        <v>107</v>
      </c>
      <c r="B6" s="6" t="s">
        <v>105</v>
      </c>
      <c r="C6" s="6" t="s">
        <v>108</v>
      </c>
      <c r="D6" s="7">
        <f>Datos_base!$B$10</f>
        <v>7</v>
      </c>
      <c r="E6" s="6">
        <v>40</v>
      </c>
      <c r="F6" s="6"/>
      <c r="G6" s="6" t="s">
        <v>106</v>
      </c>
      <c r="H6" s="6" t="s">
        <v>617</v>
      </c>
      <c r="I6" s="2"/>
    </row>
    <row r="7" spans="1:9">
      <c r="A7" s="4" t="s">
        <v>38</v>
      </c>
      <c r="B7" s="6" t="s">
        <v>109</v>
      </c>
      <c r="C7" s="6" t="s">
        <v>606</v>
      </c>
      <c r="D7" s="7">
        <f>Datos_base!$B$10</f>
        <v>7</v>
      </c>
      <c r="E7" s="6">
        <v>40</v>
      </c>
      <c r="F7" s="6"/>
      <c r="G7" s="6" t="s">
        <v>106</v>
      </c>
      <c r="H7" s="6" t="s">
        <v>617</v>
      </c>
      <c r="I7" s="37" t="s">
        <v>111</v>
      </c>
    </row>
    <row r="8" spans="1:9">
      <c r="A8" s="4" t="s">
        <v>112</v>
      </c>
      <c r="B8" s="6" t="s">
        <v>105</v>
      </c>
      <c r="C8" s="6" t="s">
        <v>112</v>
      </c>
      <c r="D8" s="7">
        <f>Datos_base!$B$10</f>
        <v>7</v>
      </c>
      <c r="E8" s="6">
        <v>40</v>
      </c>
      <c r="F8" s="6"/>
      <c r="G8" s="6" t="s">
        <v>106</v>
      </c>
      <c r="H8" s="6" t="s">
        <v>617</v>
      </c>
      <c r="I8" s="2"/>
    </row>
    <row r="9" spans="1:9" ht="27.6">
      <c r="A9" s="4" t="s">
        <v>113</v>
      </c>
      <c r="B9" s="6" t="s">
        <v>109</v>
      </c>
      <c r="C9" s="6" t="s">
        <v>110</v>
      </c>
      <c r="D9" s="8">
        <v>0</v>
      </c>
      <c r="E9" s="6">
        <v>0</v>
      </c>
      <c r="F9" s="6">
        <v>0</v>
      </c>
      <c r="G9" s="6" t="s">
        <v>114</v>
      </c>
      <c r="H9" s="6" t="s">
        <v>115</v>
      </c>
      <c r="I9" s="2" t="s">
        <v>116</v>
      </c>
    </row>
  </sheetData>
  <mergeCells count="2">
    <mergeCell ref="A1:I1"/>
    <mergeCell ref="A2:I2"/>
  </mergeCells>
  <dataValidations count="2">
    <dataValidation type="list" sqref="B5:B9" xr:uid="{00000000-0002-0000-0200-000000000000}">
      <formula1>"Sí,No"</formula1>
    </dataValidation>
    <dataValidation type="list" sqref="G5:G9" xr:uid="{00000000-0002-0000-0200-000001000000}">
      <formula1>"Abierta,Cerrada"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6"/>
  <sheetViews>
    <sheetView workbookViewId="0">
      <pane ySplit="4" topLeftCell="A5" activePane="bottomLeft" state="frozen"/>
      <selection pane="bottomLeft" activeCell="A2" sqref="A2:E2"/>
    </sheetView>
  </sheetViews>
  <sheetFormatPr baseColWidth="10" defaultColWidth="8.796875" defaultRowHeight="13.8"/>
  <cols>
    <col min="1" max="1" width="38" customWidth="1"/>
    <col min="2" max="2" width="22" customWidth="1"/>
    <col min="3" max="3" width="16" customWidth="1"/>
    <col min="4" max="4" width="27" customWidth="1"/>
    <col min="5" max="5" width="72" customWidth="1"/>
  </cols>
  <sheetData>
    <row r="1" spans="1:5" ht="30" customHeight="1">
      <c r="A1" s="23" t="s">
        <v>117</v>
      </c>
      <c r="B1" s="23"/>
      <c r="C1" s="23"/>
      <c r="D1" s="23"/>
      <c r="E1" s="23"/>
    </row>
    <row r="2" spans="1:5" ht="31.95" customHeight="1">
      <c r="A2" s="24" t="s">
        <v>118</v>
      </c>
      <c r="B2" s="24"/>
      <c r="C2" s="24"/>
      <c r="D2" s="24"/>
      <c r="E2" s="24"/>
    </row>
    <row r="4" spans="1:5" ht="30" customHeight="1">
      <c r="A4" s="1" t="s">
        <v>119</v>
      </c>
      <c r="B4" s="1" t="s">
        <v>120</v>
      </c>
      <c r="C4" s="1" t="s">
        <v>34</v>
      </c>
      <c r="D4" s="1" t="s">
        <v>121</v>
      </c>
      <c r="E4" s="1" t="s">
        <v>122</v>
      </c>
    </row>
    <row r="5" spans="1:5">
      <c r="A5" s="4" t="s">
        <v>123</v>
      </c>
      <c r="B5" s="7">
        <f>Datos_base!B9</f>
        <v>15</v>
      </c>
      <c r="C5" s="2" t="s">
        <v>55</v>
      </c>
      <c r="D5" s="2" t="s">
        <v>124</v>
      </c>
      <c r="E5" s="2" t="s">
        <v>125</v>
      </c>
    </row>
    <row r="6" spans="1:5">
      <c r="A6" s="4" t="s">
        <v>126</v>
      </c>
      <c r="B6" s="7">
        <f>Datos_base!B23</f>
        <v>40</v>
      </c>
      <c r="C6" s="2" t="s">
        <v>55</v>
      </c>
      <c r="D6" s="2" t="s">
        <v>124</v>
      </c>
      <c r="E6" s="2" t="s">
        <v>127</v>
      </c>
    </row>
    <row r="7" spans="1:5">
      <c r="A7" s="4" t="s">
        <v>128</v>
      </c>
      <c r="B7" s="13">
        <f>IF(OR(B5="",B5&lt;0,B5&gt;100),"",1000*(1-(((B5+288.9414)/(508929.2*(B5+68.12963)))*(B5-3.9863)^2)))</f>
        <v>999.12854868827731</v>
      </c>
      <c r="C7" s="2" t="s">
        <v>80</v>
      </c>
      <c r="D7" s="2" t="s">
        <v>129</v>
      </c>
      <c r="E7" s="2" t="s">
        <v>130</v>
      </c>
    </row>
    <row r="8" spans="1:5">
      <c r="A8" s="4" t="s">
        <v>131</v>
      </c>
      <c r="B8" s="13">
        <f>IF(OR(B5="",B5&lt;0,B5&gt;100),"",0.00002414*10^(247.8/(B5+133.15)))</f>
        <v>1.1359686809680894E-3</v>
      </c>
      <c r="C8" s="2" t="s">
        <v>84</v>
      </c>
      <c r="D8" s="2" t="s">
        <v>132</v>
      </c>
      <c r="E8" s="2" t="s">
        <v>133</v>
      </c>
    </row>
    <row r="9" spans="1:5">
      <c r="A9" s="4" t="s">
        <v>134</v>
      </c>
      <c r="B9" s="11">
        <f>IF(OR(B5="",B5&lt;1,B5&gt;100),"",10^(8.07131-1730.63/(233.426+B5))*0.133322)</f>
        <v>1.6975848449542137</v>
      </c>
      <c r="C9" s="2" t="s">
        <v>47</v>
      </c>
      <c r="D9" s="2" t="s">
        <v>135</v>
      </c>
      <c r="E9" s="2" t="s">
        <v>136</v>
      </c>
    </row>
    <row r="10" spans="1:5">
      <c r="A10" s="4" t="s">
        <v>137</v>
      </c>
      <c r="B10" s="7">
        <f>Datos_base!B11</f>
        <v>4180</v>
      </c>
      <c r="C10" s="2" t="s">
        <v>62</v>
      </c>
      <c r="D10" s="2" t="s">
        <v>138</v>
      </c>
      <c r="E10" s="2" t="s">
        <v>139</v>
      </c>
    </row>
    <row r="11" spans="1:5">
      <c r="A11" s="4"/>
      <c r="B11" s="2"/>
      <c r="C11" s="2"/>
      <c r="D11" s="2"/>
      <c r="E11" s="2"/>
    </row>
    <row r="12" spans="1:5">
      <c r="A12" s="4" t="s">
        <v>140</v>
      </c>
      <c r="B12" s="13">
        <f>IF(OR(B6="",B6&lt;0,B6&gt;100),"",1000*(1-(((B6+288.9414)/(508929.2*(B6+68.12963)))*(B6-3.9863)^2)))</f>
        <v>992.24731862898273</v>
      </c>
      <c r="C12" s="2" t="s">
        <v>80</v>
      </c>
      <c r="D12" s="2" t="s">
        <v>129</v>
      </c>
      <c r="E12" s="2" t="s">
        <v>141</v>
      </c>
    </row>
    <row r="13" spans="1:5">
      <c r="A13" s="4" t="s">
        <v>142</v>
      </c>
      <c r="B13" s="13">
        <f>IF(OR(B6="",B6&lt;0,B6&gt;100),"",0.00002414*10^(247.8/(B6+133.15)))</f>
        <v>6.5142788435960562E-4</v>
      </c>
      <c r="C13" s="2" t="s">
        <v>84</v>
      </c>
      <c r="D13" s="2" t="s">
        <v>132</v>
      </c>
      <c r="E13" s="2" t="s">
        <v>143</v>
      </c>
    </row>
    <row r="14" spans="1:5">
      <c r="A14" s="4" t="s">
        <v>144</v>
      </c>
      <c r="B14" s="11">
        <f>IF(OR(B6="",B6&lt;1,B6&gt;100),"",10^(8.07131-1730.63/(233.426+B6))*0.133322)</f>
        <v>7.3584184223731341</v>
      </c>
      <c r="C14" s="2" t="s">
        <v>47</v>
      </c>
      <c r="D14" s="2" t="s">
        <v>135</v>
      </c>
      <c r="E14" s="2" t="s">
        <v>145</v>
      </c>
    </row>
    <row r="15" spans="1:5">
      <c r="A15" s="4" t="s">
        <v>146</v>
      </c>
      <c r="B15" s="7">
        <f>Datos_base!B11</f>
        <v>4180</v>
      </c>
      <c r="C15" s="2" t="s">
        <v>62</v>
      </c>
      <c r="D15" s="2" t="s">
        <v>138</v>
      </c>
      <c r="E15" s="2" t="s">
        <v>147</v>
      </c>
    </row>
    <row r="16" spans="1:5">
      <c r="A16" s="2"/>
      <c r="B16" s="2"/>
      <c r="C16" s="2"/>
      <c r="D16" s="2"/>
      <c r="E16" s="2"/>
    </row>
  </sheetData>
  <mergeCells count="2">
    <mergeCell ref="A1:E1"/>
    <mergeCell ref="A2:E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7"/>
  <sheetViews>
    <sheetView workbookViewId="0">
      <pane ySplit="4" topLeftCell="A8" activePane="bottomLeft" state="frozen"/>
      <selection pane="bottomLeft" activeCell="B19" sqref="B19"/>
    </sheetView>
  </sheetViews>
  <sheetFormatPr baseColWidth="10" defaultColWidth="8.796875" defaultRowHeight="13.8"/>
  <cols>
    <col min="1" max="1" width="38" customWidth="1"/>
    <col min="2" max="2" width="40" customWidth="1"/>
    <col min="3" max="3" width="16" customWidth="1"/>
    <col min="4" max="4" width="25" customWidth="1"/>
    <col min="5" max="5" width="80" customWidth="1"/>
  </cols>
  <sheetData>
    <row r="1" spans="1:5" ht="30" customHeight="1">
      <c r="A1" s="23" t="s">
        <v>148</v>
      </c>
      <c r="B1" s="23"/>
      <c r="C1" s="23"/>
      <c r="D1" s="23"/>
      <c r="E1" s="23"/>
    </row>
    <row r="2" spans="1:5" ht="31.95" customHeight="1">
      <c r="A2" s="24" t="s">
        <v>149</v>
      </c>
      <c r="B2" s="24"/>
      <c r="C2" s="24"/>
      <c r="D2" s="24"/>
      <c r="E2" s="24"/>
    </row>
    <row r="4" spans="1:5" ht="30" customHeight="1">
      <c r="A4" s="1" t="s">
        <v>32</v>
      </c>
      <c r="B4" s="1" t="s">
        <v>33</v>
      </c>
      <c r="C4" s="1" t="s">
        <v>34</v>
      </c>
      <c r="D4" s="1" t="s">
        <v>150</v>
      </c>
      <c r="E4" s="1" t="s">
        <v>151</v>
      </c>
    </row>
    <row r="5" spans="1:5">
      <c r="A5" s="4" t="s">
        <v>152</v>
      </c>
      <c r="B5" s="2" t="s">
        <v>153</v>
      </c>
      <c r="C5" s="2" t="s">
        <v>39</v>
      </c>
      <c r="D5" s="2" t="s">
        <v>154</v>
      </c>
      <c r="E5" s="2" t="s">
        <v>155</v>
      </c>
    </row>
    <row r="6" spans="1:5">
      <c r="A6" s="4" t="s">
        <v>156</v>
      </c>
      <c r="B6" s="8">
        <v>1800</v>
      </c>
      <c r="C6" s="2" t="s">
        <v>157</v>
      </c>
      <c r="D6" s="2" t="s">
        <v>158</v>
      </c>
      <c r="E6" s="2" t="s">
        <v>159</v>
      </c>
    </row>
    <row r="7" spans="1:5">
      <c r="A7" s="4" t="s">
        <v>160</v>
      </c>
      <c r="B7" s="8">
        <v>80</v>
      </c>
      <c r="C7" s="2" t="s">
        <v>51</v>
      </c>
      <c r="D7" s="2" t="s">
        <v>158</v>
      </c>
      <c r="E7" s="2" t="s">
        <v>161</v>
      </c>
    </row>
    <row r="8" spans="1:5">
      <c r="A8" s="4" t="s">
        <v>162</v>
      </c>
      <c r="B8" s="8">
        <v>130</v>
      </c>
      <c r="C8" s="2" t="s">
        <v>51</v>
      </c>
      <c r="D8" s="2" t="s">
        <v>158</v>
      </c>
      <c r="E8" s="2" t="s">
        <v>163</v>
      </c>
    </row>
    <row r="9" spans="1:5">
      <c r="A9" s="4" t="s">
        <v>164</v>
      </c>
      <c r="B9" s="8">
        <v>7</v>
      </c>
      <c r="C9" s="2" t="s">
        <v>58</v>
      </c>
      <c r="D9" s="2" t="s">
        <v>158</v>
      </c>
      <c r="E9" s="2" t="s">
        <v>165</v>
      </c>
    </row>
    <row r="10" spans="1:5">
      <c r="A10" s="4" t="s">
        <v>166</v>
      </c>
      <c r="B10" s="8">
        <v>50</v>
      </c>
      <c r="C10" s="2" t="s">
        <v>55</v>
      </c>
      <c r="D10" s="2" t="s">
        <v>158</v>
      </c>
      <c r="E10" s="2" t="s">
        <v>167</v>
      </c>
    </row>
    <row r="11" spans="1:5">
      <c r="A11" s="4" t="s">
        <v>168</v>
      </c>
      <c r="B11" s="2">
        <v>110</v>
      </c>
      <c r="C11" s="2" t="s">
        <v>169</v>
      </c>
      <c r="D11" s="2" t="s">
        <v>158</v>
      </c>
      <c r="E11" s="2" t="s">
        <v>170</v>
      </c>
    </row>
    <row r="12" spans="1:5" ht="27.6">
      <c r="A12" s="4" t="s">
        <v>171</v>
      </c>
      <c r="B12" s="2">
        <v>8</v>
      </c>
      <c r="C12" s="38" t="s">
        <v>67</v>
      </c>
      <c r="D12" s="2" t="s">
        <v>158</v>
      </c>
      <c r="E12" s="2" t="s">
        <v>172</v>
      </c>
    </row>
    <row r="13" spans="1:5" ht="27.6">
      <c r="A13" s="4" t="s">
        <v>173</v>
      </c>
      <c r="B13" s="6">
        <v>3</v>
      </c>
      <c r="C13" s="2" t="s">
        <v>67</v>
      </c>
      <c r="D13" s="2" t="s">
        <v>52</v>
      </c>
      <c r="E13" s="2" t="s">
        <v>174</v>
      </c>
    </row>
    <row r="14" spans="1:5">
      <c r="A14" s="4" t="s">
        <v>175</v>
      </c>
      <c r="B14" s="28" t="s">
        <v>606</v>
      </c>
      <c r="C14" s="2" t="s">
        <v>176</v>
      </c>
      <c r="D14" s="2" t="s">
        <v>52</v>
      </c>
      <c r="E14" s="2" t="s">
        <v>177</v>
      </c>
    </row>
    <row r="15" spans="1:5" ht="27.6">
      <c r="A15" s="4" t="s">
        <v>178</v>
      </c>
      <c r="B15" s="7">
        <f>IF(OR(B7="",B9=""),"",B7*100000*B9/60000)</f>
        <v>933.33333333333337</v>
      </c>
      <c r="C15" s="2" t="s">
        <v>157</v>
      </c>
      <c r="D15" s="2" t="s">
        <v>179</v>
      </c>
      <c r="E15" s="2" t="s">
        <v>180</v>
      </c>
    </row>
    <row r="16" spans="1:5">
      <c r="A16" s="4" t="s">
        <v>181</v>
      </c>
      <c r="B16" s="14">
        <f>IF(OR(B15="",B6=""),"",B15/B6)</f>
        <v>0.51851851851851849</v>
      </c>
      <c r="C16" s="2" t="s">
        <v>70</v>
      </c>
      <c r="D16" s="2" t="s">
        <v>182</v>
      </c>
      <c r="E16" s="2" t="s">
        <v>183</v>
      </c>
    </row>
    <row r="17" spans="1:5">
      <c r="A17" s="2"/>
      <c r="B17" s="2"/>
      <c r="C17" s="2"/>
      <c r="D17" s="2"/>
      <c r="E17" s="2"/>
    </row>
  </sheetData>
  <mergeCells count="2">
    <mergeCell ref="A1:E1"/>
    <mergeCell ref="A2:E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2"/>
  <sheetViews>
    <sheetView workbookViewId="0">
      <pane ySplit="4" topLeftCell="A5" activePane="bottomLeft" state="frozen"/>
      <selection pane="bottomLeft" activeCell="B19" sqref="B19"/>
    </sheetView>
  </sheetViews>
  <sheetFormatPr baseColWidth="10" defaultColWidth="8.796875" defaultRowHeight="13.8"/>
  <cols>
    <col min="1" max="1" width="40" customWidth="1"/>
    <col min="2" max="2" width="48" customWidth="1"/>
    <col min="3" max="3" width="16" customWidth="1"/>
    <col min="4" max="4" width="24" customWidth="1"/>
    <col min="5" max="5" width="78" customWidth="1"/>
  </cols>
  <sheetData>
    <row r="1" spans="1:5" ht="30" customHeight="1">
      <c r="A1" s="23" t="s">
        <v>184</v>
      </c>
      <c r="B1" s="23"/>
      <c r="C1" s="23"/>
      <c r="D1" s="23"/>
      <c r="E1" s="23"/>
    </row>
    <row r="2" spans="1:5" ht="31.95" customHeight="1">
      <c r="A2" s="24" t="s">
        <v>185</v>
      </c>
      <c r="B2" s="24"/>
      <c r="C2" s="24"/>
      <c r="D2" s="24"/>
      <c r="E2" s="24"/>
    </row>
    <row r="4" spans="1:5" ht="30" customHeight="1">
      <c r="A4" s="1" t="s">
        <v>32</v>
      </c>
      <c r="B4" s="1" t="s">
        <v>33</v>
      </c>
      <c r="C4" s="1" t="s">
        <v>34</v>
      </c>
      <c r="D4" s="1" t="s">
        <v>35</v>
      </c>
      <c r="E4" s="1" t="s">
        <v>151</v>
      </c>
    </row>
    <row r="5" spans="1:5">
      <c r="A5" s="4" t="s">
        <v>186</v>
      </c>
      <c r="B5" s="29" t="s">
        <v>608</v>
      </c>
      <c r="C5" s="2" t="s">
        <v>39</v>
      </c>
      <c r="D5" s="2" t="s">
        <v>188</v>
      </c>
      <c r="E5" s="2" t="s">
        <v>189</v>
      </c>
    </row>
    <row r="6" spans="1:5">
      <c r="A6" s="4" t="s">
        <v>190</v>
      </c>
      <c r="B6" s="29" t="s">
        <v>607</v>
      </c>
      <c r="C6" s="2" t="s">
        <v>39</v>
      </c>
      <c r="D6" s="2" t="s">
        <v>52</v>
      </c>
      <c r="E6" s="2" t="s">
        <v>191</v>
      </c>
    </row>
    <row r="7" spans="1:5">
      <c r="A7" s="4" t="s">
        <v>192</v>
      </c>
      <c r="B7" s="6">
        <v>3.11</v>
      </c>
      <c r="C7" s="2" t="s">
        <v>51</v>
      </c>
      <c r="D7" s="2" t="s">
        <v>52</v>
      </c>
      <c r="E7" s="2" t="s">
        <v>193</v>
      </c>
    </row>
    <row r="8" spans="1:5">
      <c r="A8" s="4" t="s">
        <v>194</v>
      </c>
      <c r="B8" s="6">
        <v>7</v>
      </c>
      <c r="C8" s="2" t="s">
        <v>58</v>
      </c>
      <c r="D8" s="2" t="s">
        <v>52</v>
      </c>
      <c r="E8" s="2" t="s">
        <v>195</v>
      </c>
    </row>
    <row r="9" spans="1:5">
      <c r="A9" s="4" t="s">
        <v>196</v>
      </c>
      <c r="B9" s="6">
        <v>1.51</v>
      </c>
      <c r="C9" s="2" t="s">
        <v>51</v>
      </c>
      <c r="D9" s="2" t="s">
        <v>52</v>
      </c>
      <c r="E9" s="2" t="s">
        <v>197</v>
      </c>
    </row>
    <row r="10" spans="1:5">
      <c r="A10" s="4" t="s">
        <v>198</v>
      </c>
      <c r="B10" s="6">
        <v>180</v>
      </c>
      <c r="C10" s="2" t="s">
        <v>199</v>
      </c>
      <c r="D10" s="2" t="s">
        <v>52</v>
      </c>
      <c r="E10" s="2" t="s">
        <v>200</v>
      </c>
    </row>
    <row r="11" spans="1:5">
      <c r="A11" s="4" t="s">
        <v>201</v>
      </c>
      <c r="B11" s="28">
        <v>0.1</v>
      </c>
      <c r="C11" s="2" t="s">
        <v>58</v>
      </c>
      <c r="D11" s="2" t="s">
        <v>52</v>
      </c>
      <c r="E11" s="2" t="s">
        <v>611</v>
      </c>
    </row>
    <row r="12" spans="1:5">
      <c r="A12" s="4" t="s">
        <v>202</v>
      </c>
      <c r="B12" s="7">
        <v>0.1</v>
      </c>
      <c r="C12" s="2" t="s">
        <v>58</v>
      </c>
      <c r="D12" s="2" t="s">
        <v>81</v>
      </c>
      <c r="E12" s="2" t="s">
        <v>203</v>
      </c>
    </row>
    <row r="13" spans="1:5">
      <c r="A13" s="4" t="s">
        <v>204</v>
      </c>
      <c r="B13" s="7">
        <f>Datos_base!B22</f>
        <v>7</v>
      </c>
      <c r="C13" s="2" t="s">
        <v>58</v>
      </c>
      <c r="D13" s="2" t="s">
        <v>81</v>
      </c>
      <c r="E13" s="2" t="s">
        <v>205</v>
      </c>
    </row>
    <row r="14" spans="1:5">
      <c r="A14" s="4" t="s">
        <v>206</v>
      </c>
      <c r="B14" s="30" t="s">
        <v>609</v>
      </c>
      <c r="C14" s="2" t="s">
        <v>39</v>
      </c>
      <c r="D14" s="2" t="s">
        <v>610</v>
      </c>
      <c r="E14" s="2" t="s">
        <v>207</v>
      </c>
    </row>
    <row r="15" spans="1:5" ht="27.6">
      <c r="A15" s="4" t="s">
        <v>208</v>
      </c>
      <c r="B15" s="14">
        <f>IF(OR(B12="",B13="",B13=0),"",B12/B13)</f>
        <v>1.4285714285714287E-2</v>
      </c>
      <c r="C15" s="2" t="s">
        <v>70</v>
      </c>
      <c r="D15" s="2" t="s">
        <v>81</v>
      </c>
      <c r="E15" s="2" t="s">
        <v>209</v>
      </c>
    </row>
    <row r="16" spans="1:5">
      <c r="A16" s="4" t="s">
        <v>210</v>
      </c>
      <c r="B16" s="6">
        <v>1000</v>
      </c>
      <c r="C16" s="2" t="s">
        <v>80</v>
      </c>
      <c r="D16" s="2" t="s">
        <v>52</v>
      </c>
      <c r="E16" s="2" t="s">
        <v>211</v>
      </c>
    </row>
    <row r="17" spans="1:5">
      <c r="A17" s="4" t="s">
        <v>212</v>
      </c>
      <c r="B17" s="6">
        <v>1E-3</v>
      </c>
      <c r="C17" s="2" t="s">
        <v>84</v>
      </c>
      <c r="D17" s="2" t="s">
        <v>52</v>
      </c>
      <c r="E17" s="2" t="s">
        <v>213</v>
      </c>
    </row>
    <row r="18" spans="1:5">
      <c r="A18" s="4" t="s">
        <v>214</v>
      </c>
      <c r="B18" s="6">
        <v>-0.28799999999999998</v>
      </c>
      <c r="C18" s="2" t="s">
        <v>51</v>
      </c>
      <c r="D18" s="2" t="s">
        <v>52</v>
      </c>
      <c r="E18" s="2" t="s">
        <v>215</v>
      </c>
    </row>
    <row r="19" spans="1:5" ht="27.6">
      <c r="A19" s="4" t="s">
        <v>216</v>
      </c>
      <c r="B19" s="7">
        <f>IF(OR(Bomba!$B$7="",Tuberias!$B$36&lt;&gt;"GEOMETRÍA DECLARADA PARA TRAMOS ACTIVOS",Datos_base!$B$5="Pistola cerrada"),"",Bomba!$B$7-Tuberias!$B$32/100)</f>
        <v>80</v>
      </c>
      <c r="C19" s="2" t="s">
        <v>51</v>
      </c>
      <c r="D19" s="2" t="s">
        <v>81</v>
      </c>
      <c r="E19" s="2" t="s">
        <v>217</v>
      </c>
    </row>
    <row r="20" spans="1:5">
      <c r="A20" s="4" t="s">
        <v>218</v>
      </c>
      <c r="B20" s="7">
        <f>IF(OR(B19="",B10=""),"",B19-B10/100)</f>
        <v>78.2</v>
      </c>
      <c r="C20" s="2" t="s">
        <v>51</v>
      </c>
      <c r="D20" s="2" t="s">
        <v>81</v>
      </c>
      <c r="E20" s="2" t="s">
        <v>219</v>
      </c>
    </row>
    <row r="21" spans="1:5">
      <c r="A21" s="2"/>
      <c r="B21" s="2"/>
      <c r="C21" s="2"/>
      <c r="D21" s="2"/>
      <c r="E21" s="2"/>
    </row>
    <row r="22" spans="1:5" ht="36" customHeight="1">
      <c r="A22" s="25" t="s">
        <v>220</v>
      </c>
      <c r="B22" s="25"/>
      <c r="C22" s="25"/>
      <c r="D22" s="25"/>
      <c r="E22" s="25"/>
    </row>
  </sheetData>
  <mergeCells count="3">
    <mergeCell ref="A1:E1"/>
    <mergeCell ref="A2:E2"/>
    <mergeCell ref="A22:E2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40"/>
  <sheetViews>
    <sheetView tabSelected="1" topLeftCell="B1" workbookViewId="0">
      <pane ySplit="7" topLeftCell="A8" activePane="bottomLeft" state="frozen"/>
      <selection pane="bottomLeft" activeCell="D14" sqref="D14"/>
    </sheetView>
  </sheetViews>
  <sheetFormatPr baseColWidth="10" defaultColWidth="8.796875" defaultRowHeight="13.8"/>
  <cols>
    <col min="1" max="1" width="10" customWidth="1"/>
    <col min="2" max="2" width="20" customWidth="1"/>
    <col min="3" max="3" width="38" customWidth="1"/>
    <col min="4" max="5" width="23" customWidth="1"/>
    <col min="6" max="6" width="14" customWidth="1"/>
    <col min="7" max="8" width="17" customWidth="1"/>
    <col min="9" max="9" width="18" customWidth="1"/>
    <col min="10" max="10" width="11" customWidth="1"/>
    <col min="11" max="12" width="17" customWidth="1"/>
    <col min="13" max="13" width="18" customWidth="1"/>
    <col min="14" max="15" width="15" customWidth="1"/>
    <col min="16" max="16" width="14" customWidth="1"/>
    <col min="17" max="18" width="12" customWidth="1"/>
    <col min="19" max="20" width="14" customWidth="1"/>
    <col min="21" max="21" width="16" customWidth="1"/>
    <col min="22" max="22" width="20" customWidth="1"/>
  </cols>
  <sheetData>
    <row r="1" spans="1:22" ht="30" customHeight="1">
      <c r="A1" s="23" t="s">
        <v>221</v>
      </c>
      <c r="B1" s="23"/>
      <c r="C1" s="23"/>
      <c r="D1" s="23"/>
      <c r="E1" s="23"/>
      <c r="F1" s="23"/>
      <c r="G1" s="23"/>
      <c r="H1" s="23"/>
      <c r="I1" s="23"/>
      <c r="J1" s="23"/>
      <c r="K1" s="23"/>
      <c r="L1" s="23"/>
      <c r="M1" s="23"/>
      <c r="N1" s="23"/>
      <c r="O1" s="23"/>
      <c r="P1" s="23"/>
      <c r="Q1" s="23"/>
      <c r="R1" s="23"/>
      <c r="S1" s="23"/>
      <c r="T1" s="23"/>
      <c r="U1" s="23"/>
    </row>
    <row r="2" spans="1:22" ht="31.95" customHeight="1">
      <c r="A2" s="24" t="s">
        <v>222</v>
      </c>
      <c r="B2" s="24"/>
      <c r="C2" s="24"/>
      <c r="D2" s="24"/>
      <c r="E2" s="24"/>
      <c r="F2" s="24"/>
      <c r="G2" s="24"/>
      <c r="H2" s="24"/>
      <c r="I2" s="24"/>
      <c r="J2" s="24"/>
      <c r="K2" s="24"/>
      <c r="L2" s="24"/>
      <c r="M2" s="24"/>
      <c r="N2" s="24"/>
      <c r="O2" s="24"/>
      <c r="P2" s="24"/>
      <c r="Q2" s="24"/>
      <c r="R2" s="24"/>
      <c r="S2" s="24"/>
      <c r="T2" s="24"/>
      <c r="U2" s="24"/>
    </row>
    <row r="4" spans="1:22">
      <c r="B4" t="s">
        <v>616</v>
      </c>
      <c r="C4" s="33">
        <f>3/4</f>
        <v>0.75</v>
      </c>
      <c r="D4" s="34">
        <f>C4*25.4</f>
        <v>19.049999999999997</v>
      </c>
      <c r="E4" t="s">
        <v>361</v>
      </c>
    </row>
    <row r="7" spans="1:22" ht="30" customHeight="1">
      <c r="A7" s="1" t="s">
        <v>223</v>
      </c>
      <c r="B7" s="1" t="s">
        <v>224</v>
      </c>
      <c r="C7" s="1" t="s">
        <v>225</v>
      </c>
      <c r="D7" s="1" t="s">
        <v>226</v>
      </c>
      <c r="E7" s="1" t="s">
        <v>227</v>
      </c>
      <c r="F7" s="1" t="s">
        <v>228</v>
      </c>
      <c r="G7" s="1" t="s">
        <v>229</v>
      </c>
      <c r="H7" s="1" t="s">
        <v>230</v>
      </c>
      <c r="I7" s="1" t="s">
        <v>231</v>
      </c>
      <c r="J7" s="1" t="s">
        <v>232</v>
      </c>
      <c r="K7" s="1" t="s">
        <v>233</v>
      </c>
      <c r="L7" s="1" t="s">
        <v>234</v>
      </c>
      <c r="M7" s="1" t="s">
        <v>235</v>
      </c>
      <c r="N7" s="1" t="s">
        <v>236</v>
      </c>
      <c r="O7" s="1" t="s">
        <v>237</v>
      </c>
      <c r="P7" s="1" t="s">
        <v>238</v>
      </c>
      <c r="Q7" s="1" t="s">
        <v>239</v>
      </c>
      <c r="R7" s="1" t="s">
        <v>240</v>
      </c>
      <c r="S7" s="1" t="s">
        <v>241</v>
      </c>
      <c r="T7" s="1" t="s">
        <v>242</v>
      </c>
      <c r="U7" s="1" t="s">
        <v>243</v>
      </c>
      <c r="V7" s="1" t="s">
        <v>244</v>
      </c>
    </row>
    <row r="8" spans="1:22">
      <c r="A8" s="4" t="s">
        <v>245</v>
      </c>
      <c r="B8" s="6" t="s">
        <v>246</v>
      </c>
      <c r="C8" s="6" t="s">
        <v>247</v>
      </c>
      <c r="D8" s="6" t="s">
        <v>248</v>
      </c>
      <c r="E8" s="6" t="s">
        <v>249</v>
      </c>
      <c r="F8" s="6" t="s">
        <v>250</v>
      </c>
      <c r="G8" s="6">
        <v>1</v>
      </c>
      <c r="H8" s="35">
        <f>$D$4</f>
        <v>19.049999999999997</v>
      </c>
      <c r="I8" s="6">
        <v>1.5E-3</v>
      </c>
      <c r="J8" s="6">
        <v>0</v>
      </c>
      <c r="K8" s="7">
        <f>IF(OR($B8="",$F8=""),"",IF(Datos_base!$B$5="Pistola cerrada",0,IF($F8="Agua",Datos_base!$B$20,IF($F8="Mezcla",Datos_base!$B$22,IF($F8="Químico",Datos_base!$B$21,"")))))</f>
        <v>7</v>
      </c>
      <c r="L8" s="7">
        <f>IF(OR($B8="",$F8=""),"",IF($F8="Químico",IF(OR(Datos_base!$B$21="",Datos_base!$B$21=0,Venturi!$B$16=""),"",Venturi!$B$16),Propiedades!$B$12))</f>
        <v>992.24731862898273</v>
      </c>
      <c r="M8" s="7">
        <f>IF(OR($B8="",$F8=""),"",IF($F8="Químico",IF(OR(Datos_base!$B$21="",Datos_base!$B$21=0,Venturi!$B$17=""),"",Venturi!$B$17),Propiedades!$B$13))</f>
        <v>6.5142788435960562E-4</v>
      </c>
      <c r="N8" s="7">
        <f t="shared" ref="N8:N27" si="0">IF(OR(H8="",H8&lt;=0),"",PI()*(H8/1000)^2/4)</f>
        <v>2.8502295699234242E-4</v>
      </c>
      <c r="O8" s="7">
        <f t="shared" ref="O8:O27" si="1">IF(OR(K8="",N8="",N8=0),"",K8/60000/N8)</f>
        <v>0.40932375376977476</v>
      </c>
      <c r="P8" s="7">
        <f t="shared" ref="P8:P27" si="2">IF(OR(L8="",O8="",H8="",M8="",M8=0),"",L8*O8*(H8/1000)/M8)</f>
        <v>11877.239600999805</v>
      </c>
      <c r="Q8" s="7">
        <f t="shared" ref="Q8:Q27" si="3">IF(OR(I8="",H8="",H8=0),"",I8/H8)</f>
        <v>7.874015748031497E-5</v>
      </c>
      <c r="R8" s="7">
        <f t="shared" ref="R8:R27" si="4">IF(OR(P8="",P8&lt;=0,H8="",H8&lt;=0,I8=""),"",IF(P8&lt;2300,64/P8,0.25/(LOG10(I8/(3.7*H8)+5.74/(P8^0.9))^2)))</f>
        <v>2.9707823548404465E-2</v>
      </c>
      <c r="S8" s="7">
        <f>IF(OR(G8="",H8="",H8&lt;=0,R8="",O8=""),"",R8*(G8/(H8/1000))*O8^2/(2*Datos_base!$B$6))</f>
        <v>1.3317133368973484E-2</v>
      </c>
      <c r="T8" s="7">
        <f>IF(OR(J8="",O8=""),"",J8*O8^2/(2*Datos_base!$B$6))</f>
        <v>0</v>
      </c>
      <c r="U8" s="7">
        <f>IF(OR(L8="",O8="",S8="",T8=""),"",L8*Datos_base!$B$6*(S8+T8)/1000)</f>
        <v>0.1296282596952191</v>
      </c>
      <c r="V8" s="21" t="str">
        <f t="shared" ref="V8:V27" si="5">IF(OR($B8="",$C8=""),"",IF(AND($G8&lt;&gt;"",$H8&lt;&gt;"",$I8&lt;&gt;""),"OK","INCOMPLETO"))</f>
        <v>OK</v>
      </c>
    </row>
    <row r="9" spans="1:22">
      <c r="A9" s="4" t="s">
        <v>251</v>
      </c>
      <c r="B9" s="6" t="s">
        <v>246</v>
      </c>
      <c r="C9" s="6" t="s">
        <v>252</v>
      </c>
      <c r="D9" s="6" t="s">
        <v>249</v>
      </c>
      <c r="E9" s="6" t="s">
        <v>253</v>
      </c>
      <c r="F9" s="6" t="s">
        <v>250</v>
      </c>
      <c r="G9" s="6">
        <v>1</v>
      </c>
      <c r="H9" s="35">
        <f t="shared" ref="H9:H13" si="6">$D$4</f>
        <v>19.049999999999997</v>
      </c>
      <c r="I9" s="6">
        <v>1.5E-3</v>
      </c>
      <c r="J9" s="6">
        <v>0</v>
      </c>
      <c r="K9" s="7">
        <f>IF(OR($B9="",$F9=""),"",IF(Datos_base!$B$5="Pistola cerrada",0,IF($F9="Agua",Datos_base!$B$20,IF($F9="Mezcla",Datos_base!$B$22,IF($F9="Químico",Datos_base!$B$21,"")))))</f>
        <v>7</v>
      </c>
      <c r="L9" s="7">
        <f>IF(OR($B9="",$F9=""),"",IF($F9="Químico",IF(OR(Datos_base!$B$21="",Datos_base!$B$21=0,Venturi!$B$16=""),"",Venturi!$B$16),Propiedades!$B$12))</f>
        <v>992.24731862898273</v>
      </c>
      <c r="M9" s="7">
        <f>IF(OR($B9="",$F9=""),"",IF($F9="Químico",IF(OR(Datos_base!$B$21="",Datos_base!$B$21=0,Venturi!$B$17=""),"",Venturi!$B$17),Propiedades!$B$13))</f>
        <v>6.5142788435960562E-4</v>
      </c>
      <c r="N9" s="7">
        <f t="shared" si="0"/>
        <v>2.8502295699234242E-4</v>
      </c>
      <c r="O9" s="7">
        <f t="shared" si="1"/>
        <v>0.40932375376977476</v>
      </c>
      <c r="P9" s="7">
        <f t="shared" si="2"/>
        <v>11877.239600999805</v>
      </c>
      <c r="Q9" s="7">
        <f t="shared" si="3"/>
        <v>7.874015748031497E-5</v>
      </c>
      <c r="R9" s="7">
        <f t="shared" si="4"/>
        <v>2.9707823548404465E-2</v>
      </c>
      <c r="S9" s="7">
        <f>IF(OR(G9="",H9="",H9&lt;=0,R9="",O9=""),"",R9*(G9/(H9/1000))*O9^2/(2*Datos_base!$B$6))</f>
        <v>1.3317133368973484E-2</v>
      </c>
      <c r="T9" s="7">
        <f>IF(OR(J9="",O9=""),"",J9*O9^2/(2*Datos_base!$B$6))</f>
        <v>0</v>
      </c>
      <c r="U9" s="7">
        <f>IF(OR(L9="",O9="",S9="",T9=""),"",L9*Datos_base!$B$6*(S9+T9)/1000)</f>
        <v>0.1296282596952191</v>
      </c>
      <c r="V9" s="21" t="str">
        <f t="shared" si="5"/>
        <v>OK</v>
      </c>
    </row>
    <row r="10" spans="1:22">
      <c r="A10" s="4" t="s">
        <v>254</v>
      </c>
      <c r="B10" s="6" t="s">
        <v>246</v>
      </c>
      <c r="C10" s="6" t="s">
        <v>255</v>
      </c>
      <c r="D10" s="6" t="s">
        <v>253</v>
      </c>
      <c r="E10" s="6" t="s">
        <v>256</v>
      </c>
      <c r="F10" s="6" t="s">
        <v>250</v>
      </c>
      <c r="G10" s="6">
        <v>1</v>
      </c>
      <c r="H10" s="35">
        <f t="shared" si="6"/>
        <v>19.049999999999997</v>
      </c>
      <c r="I10" s="6">
        <v>1.5E-3</v>
      </c>
      <c r="J10" s="6">
        <v>0</v>
      </c>
      <c r="K10" s="7">
        <f>IF(OR($B10="",$F10=""),"",IF(Datos_base!$B$5="Pistola cerrada",0,IF($F10="Agua",Datos_base!$B$20,IF($F10="Mezcla",Datos_base!$B$22,IF($F10="Químico",Datos_base!$B$21,"")))))</f>
        <v>7</v>
      </c>
      <c r="L10" s="7">
        <f>IF(OR($B10="",$F10=""),"",IF($F10="Químico",IF(OR(Datos_base!$B$21="",Datos_base!$B$21=0,Venturi!$B$16=""),"",Venturi!$B$16),Propiedades!$B$12))</f>
        <v>992.24731862898273</v>
      </c>
      <c r="M10" s="7">
        <f>IF(OR($B10="",$F10=""),"",IF($F10="Químico",IF(OR(Datos_base!$B$21="",Datos_base!$B$21=0,Venturi!$B$17=""),"",Venturi!$B$17),Propiedades!$B$13))</f>
        <v>6.5142788435960562E-4</v>
      </c>
      <c r="N10" s="7">
        <f t="shared" si="0"/>
        <v>2.8502295699234242E-4</v>
      </c>
      <c r="O10" s="7">
        <f t="shared" si="1"/>
        <v>0.40932375376977476</v>
      </c>
      <c r="P10" s="7">
        <f t="shared" si="2"/>
        <v>11877.239600999805</v>
      </c>
      <c r="Q10" s="7">
        <f t="shared" si="3"/>
        <v>7.874015748031497E-5</v>
      </c>
      <c r="R10" s="7">
        <f t="shared" si="4"/>
        <v>2.9707823548404465E-2</v>
      </c>
      <c r="S10" s="7">
        <f>IF(OR(G10="",H10="",H10&lt;=0,R10="",O10=""),"",R10*(G10/(H10/1000))*O10^2/(2*Datos_base!$B$6))</f>
        <v>1.3317133368973484E-2</v>
      </c>
      <c r="T10" s="7">
        <f>IF(OR(J10="",O10=""),"",J10*O10^2/(2*Datos_base!$B$6))</f>
        <v>0</v>
      </c>
      <c r="U10" s="7">
        <f>IF(OR(L10="",O10="",S10="",T10=""),"",L10*Datos_base!$B$6*(S10+T10)/1000)</f>
        <v>0.1296282596952191</v>
      </c>
      <c r="V10" s="21" t="str">
        <f t="shared" si="5"/>
        <v>OK</v>
      </c>
    </row>
    <row r="11" spans="1:22">
      <c r="A11" s="4" t="s">
        <v>257</v>
      </c>
      <c r="B11" s="6" t="s">
        <v>258</v>
      </c>
      <c r="C11" s="6" t="s">
        <v>259</v>
      </c>
      <c r="D11" s="6" t="s">
        <v>256</v>
      </c>
      <c r="E11" s="6" t="s">
        <v>20</v>
      </c>
      <c r="F11" s="6" t="s">
        <v>250</v>
      </c>
      <c r="G11" s="6">
        <v>0</v>
      </c>
      <c r="H11" s="35">
        <f t="shared" si="6"/>
        <v>19.049999999999997</v>
      </c>
      <c r="I11" s="6">
        <v>1.5E-3</v>
      </c>
      <c r="J11" s="6">
        <v>0</v>
      </c>
      <c r="K11" s="7">
        <f>IF(OR($B11="",$F11=""),"",IF(Datos_base!$B$5="Pistola cerrada",0,IF($F11="Agua",Datos_base!$B$20,IF($F11="Mezcla",Datos_base!$B$22,IF($F11="Químico",Datos_base!$B$21,"")))))</f>
        <v>7</v>
      </c>
      <c r="L11" s="7">
        <f>IF(OR($B11="",$F11=""),"",IF($F11="Químico",IF(OR(Datos_base!$B$21="",Datos_base!$B$21=0,Venturi!$B$16=""),"",Venturi!$B$16),Propiedades!$B$12))</f>
        <v>992.24731862898273</v>
      </c>
      <c r="M11" s="7">
        <f>IF(OR($B11="",$F11=""),"",IF($F11="Químico",IF(OR(Datos_base!$B$21="",Datos_base!$B$21=0,Venturi!$B$17=""),"",Venturi!$B$17),Propiedades!$B$13))</f>
        <v>6.5142788435960562E-4</v>
      </c>
      <c r="N11" s="7">
        <f t="shared" si="0"/>
        <v>2.8502295699234242E-4</v>
      </c>
      <c r="O11" s="7">
        <f t="shared" si="1"/>
        <v>0.40932375376977476</v>
      </c>
      <c r="P11" s="7">
        <f t="shared" si="2"/>
        <v>11877.239600999805</v>
      </c>
      <c r="Q11" s="7">
        <f t="shared" si="3"/>
        <v>7.874015748031497E-5</v>
      </c>
      <c r="R11" s="7">
        <f t="shared" si="4"/>
        <v>2.9707823548404465E-2</v>
      </c>
      <c r="S11" s="7">
        <f>IF(OR(G11="",H11="",H11&lt;=0,R11="",O11=""),"",R11*(G11/(H11/1000))*O11^2/(2*Datos_base!$B$6))</f>
        <v>0</v>
      </c>
      <c r="T11" s="7">
        <f>IF(OR(J11="",O11=""),"",J11*O11^2/(2*Datos_base!$B$6))</f>
        <v>0</v>
      </c>
      <c r="U11" s="7">
        <f>IF(OR(L11="",O11="",S11="",T11=""),"",L11*Datos_base!$B$6*(S11+T11)/1000)</f>
        <v>0</v>
      </c>
      <c r="V11" s="21" t="str">
        <f t="shared" si="5"/>
        <v>OK</v>
      </c>
    </row>
    <row r="12" spans="1:22">
      <c r="A12" s="4" t="s">
        <v>260</v>
      </c>
      <c r="B12" s="6" t="s">
        <v>261</v>
      </c>
      <c r="C12" s="6" t="s">
        <v>262</v>
      </c>
      <c r="D12" s="6" t="s">
        <v>20</v>
      </c>
      <c r="E12" s="6" t="s">
        <v>263</v>
      </c>
      <c r="F12" s="6" t="s">
        <v>264</v>
      </c>
      <c r="G12" s="10">
        <f>Bomba!$B$12</f>
        <v>8</v>
      </c>
      <c r="H12" s="35">
        <f t="shared" si="6"/>
        <v>19.049999999999997</v>
      </c>
      <c r="I12" s="6">
        <v>1.5E-3</v>
      </c>
      <c r="J12" s="6">
        <v>0</v>
      </c>
      <c r="K12" s="7">
        <f>IF(OR($B12="",$F12=""),"",IF(Datos_base!$B$5="Pistola cerrada",0,IF($F12="Agua",Datos_base!$B$20,IF($F12="Mezcla",Datos_base!$B$22,IF($F12="Químico",Datos_base!$B$21,"")))))</f>
        <v>7</v>
      </c>
      <c r="L12" s="7">
        <f>IF(OR($B12="",$F12=""),"",IF($F12="Químico",IF(OR(Datos_base!$B$21="",Datos_base!$B$21=0,Venturi!$B$16=""),"",Venturi!$B$16),Propiedades!$B$12))</f>
        <v>992.24731862898273</v>
      </c>
      <c r="M12" s="7">
        <f>IF(OR($B12="",$F12=""),"",IF($F12="Químico",IF(OR(Datos_base!$B$21="",Datos_base!$B$21=0,Venturi!$B$17=""),"",Venturi!$B$17),Propiedades!$B$13))</f>
        <v>6.5142788435960562E-4</v>
      </c>
      <c r="N12" s="7">
        <f t="shared" si="0"/>
        <v>2.8502295699234242E-4</v>
      </c>
      <c r="O12" s="7">
        <f t="shared" si="1"/>
        <v>0.40932375376977476</v>
      </c>
      <c r="P12" s="7">
        <f t="shared" si="2"/>
        <v>11877.239600999805</v>
      </c>
      <c r="Q12" s="7">
        <f t="shared" si="3"/>
        <v>7.874015748031497E-5</v>
      </c>
      <c r="R12" s="7">
        <f t="shared" si="4"/>
        <v>2.9707823548404465E-2</v>
      </c>
      <c r="S12" s="7">
        <f>IF(OR(G12="",H12="",H12&lt;=0,R12="",O12=""),"",R12*(G12/(H12/1000))*O12^2/(2*Datos_base!$B$6))</f>
        <v>0.10653706695178787</v>
      </c>
      <c r="T12" s="7">
        <f>IF(OR(J12="",O12=""),"",J12*O12^2/(2*Datos_base!$B$6))</f>
        <v>0</v>
      </c>
      <c r="U12" s="7">
        <f>IF(OR(L12="",O12="",S12="",T12=""),"",L12*Datos_base!$B$6*(S12+T12)/1000)</f>
        <v>1.0370260775617528</v>
      </c>
      <c r="V12" s="21" t="str">
        <f t="shared" si="5"/>
        <v>OK</v>
      </c>
    </row>
    <row r="13" spans="1:22">
      <c r="A13" s="4" t="s">
        <v>265</v>
      </c>
      <c r="B13" s="6" t="s">
        <v>261</v>
      </c>
      <c r="C13" s="6" t="s">
        <v>266</v>
      </c>
      <c r="D13" s="6" t="s">
        <v>263</v>
      </c>
      <c r="E13" s="6" t="s">
        <v>24</v>
      </c>
      <c r="F13" s="6" t="s">
        <v>264</v>
      </c>
      <c r="G13" s="6">
        <v>0.3</v>
      </c>
      <c r="H13" s="35">
        <f t="shared" si="6"/>
        <v>19.049999999999997</v>
      </c>
      <c r="I13" s="6">
        <v>1.5E-3</v>
      </c>
      <c r="J13" s="6">
        <v>0</v>
      </c>
      <c r="K13" s="7">
        <f>IF(OR($B13="",$F13=""),"",IF(Datos_base!$B$5="Pistola cerrada",0,IF($F13="Agua",Datos_base!$B$20,IF($F13="Mezcla",Datos_base!$B$22,IF($F13="Químico",Datos_base!$B$21,"")))))</f>
        <v>7</v>
      </c>
      <c r="L13" s="7">
        <f>IF(OR($B13="",$F13=""),"",IF($F13="Químico",IF(OR(Datos_base!$B$21="",Datos_base!$B$21=0,Venturi!$B$16=""),"",Venturi!$B$16),Propiedades!$B$12))</f>
        <v>992.24731862898273</v>
      </c>
      <c r="M13" s="7">
        <f>IF(OR($B13="",$F13=""),"",IF($F13="Químico",IF(OR(Datos_base!$B$21="",Datos_base!$B$21=0,Venturi!$B$17=""),"",Venturi!$B$17),Propiedades!$B$13))</f>
        <v>6.5142788435960562E-4</v>
      </c>
      <c r="N13" s="7">
        <f t="shared" si="0"/>
        <v>2.8502295699234242E-4</v>
      </c>
      <c r="O13" s="7">
        <f t="shared" si="1"/>
        <v>0.40932375376977476</v>
      </c>
      <c r="P13" s="7">
        <f t="shared" si="2"/>
        <v>11877.239600999805</v>
      </c>
      <c r="Q13" s="7">
        <f t="shared" si="3"/>
        <v>7.874015748031497E-5</v>
      </c>
      <c r="R13" s="7">
        <f t="shared" si="4"/>
        <v>2.9707823548404465E-2</v>
      </c>
      <c r="S13" s="7">
        <f>IF(OR(G13="",H13="",H13&lt;=0,R13="",O13=""),"",R13*(G13/(H13/1000))*O13^2/(2*Datos_base!$B$6))</f>
        <v>3.9951400106920448E-3</v>
      </c>
      <c r="T13" s="7">
        <f>IF(OR(J13="",O13=""),"",J13*O13^2/(2*Datos_base!$B$6))</f>
        <v>0</v>
      </c>
      <c r="U13" s="7">
        <f>IF(OR(L13="",O13="",S13="",T13=""),"",L13*Datos_base!$B$6*(S13+T13)/1000)</f>
        <v>3.8888477908565727E-2</v>
      </c>
      <c r="V13" s="21" t="str">
        <f t="shared" si="5"/>
        <v>OK</v>
      </c>
    </row>
    <row r="14" spans="1:22">
      <c r="A14" s="4" t="s">
        <v>267</v>
      </c>
      <c r="B14" s="6" t="s">
        <v>268</v>
      </c>
      <c r="C14" s="6" t="s">
        <v>269</v>
      </c>
      <c r="D14" s="6" t="s">
        <v>270</v>
      </c>
      <c r="E14" s="6" t="s">
        <v>20</v>
      </c>
      <c r="F14" s="6" t="s">
        <v>271</v>
      </c>
      <c r="G14" s="6">
        <v>2</v>
      </c>
      <c r="H14" s="6">
        <v>10</v>
      </c>
      <c r="I14" s="6">
        <v>1.5E-3</v>
      </c>
      <c r="J14" s="6">
        <v>0</v>
      </c>
      <c r="K14" s="7">
        <f>IF(OR($B14="",$F14=""),"",IF(Datos_base!$B$5="Pistola cerrada",0,IF($F14="Agua",Datos_base!$B$20,IF($F14="Mezcla",Datos_base!$B$22,IF($F14="Químico",Datos_base!$B$21,"")))))</f>
        <v>0</v>
      </c>
      <c r="L14" s="7" t="str">
        <f>IF(OR($B14="",$F14=""),"",IF($F14="Químico",IF(OR(Datos_base!$B$21="",Datos_base!$B$21=0,Venturi!$B$16=""),"",Venturi!$B$16),Propiedades!$B$12))</f>
        <v/>
      </c>
      <c r="M14" s="7" t="str">
        <f>IF(OR($B14="",$F14=""),"",IF($F14="Químico",IF(OR(Datos_base!$B$21="",Datos_base!$B$21=0,Venturi!$B$17=""),"",Venturi!$B$17),Propiedades!$B$13))</f>
        <v/>
      </c>
      <c r="N14" s="7">
        <f t="shared" si="0"/>
        <v>7.8539816339744827E-5</v>
      </c>
      <c r="O14" s="7">
        <f t="shared" si="1"/>
        <v>0</v>
      </c>
      <c r="P14" s="7" t="str">
        <f t="shared" si="2"/>
        <v/>
      </c>
      <c r="Q14" s="7">
        <f t="shared" si="3"/>
        <v>1.5000000000000001E-4</v>
      </c>
      <c r="R14" s="7" t="str">
        <f t="shared" si="4"/>
        <v/>
      </c>
      <c r="S14" s="7" t="str">
        <f>IF(OR(G14="",H14="",H14&lt;=0,R14="",O14=""),"",R14*(G14/(H14/1000))*O14^2/(2*Datos_base!$B$6))</f>
        <v/>
      </c>
      <c r="T14" s="7">
        <f>IF(OR(J14="",O14=""),"",J14*O14^2/(2*Datos_base!$B$6))</f>
        <v>0</v>
      </c>
      <c r="U14" s="7" t="str">
        <f>IF(OR(L14="",O14="",S14="",T14=""),"",L14*Datos_base!$B$6*(S14+T14)/1000)</f>
        <v/>
      </c>
      <c r="V14" s="21" t="str">
        <f t="shared" si="5"/>
        <v>OK</v>
      </c>
    </row>
    <row r="15" spans="1:22">
      <c r="A15" s="4" t="s">
        <v>272</v>
      </c>
      <c r="B15" s="6"/>
      <c r="C15" s="6" t="s">
        <v>273</v>
      </c>
      <c r="D15" s="6"/>
      <c r="E15" s="6"/>
      <c r="F15" s="6"/>
      <c r="G15" s="6"/>
      <c r="H15" s="6"/>
      <c r="I15" s="6"/>
      <c r="J15" s="6">
        <v>0</v>
      </c>
      <c r="K15" s="7" t="str">
        <f>IF(OR($B15="",$F15=""),"",IF(Datos_base!$B$5="Pistola cerrada",0,IF($F15="Agua",Datos_base!$B$20,IF($F15="Mezcla",Datos_base!$B$22,IF($F15="Químico",Datos_base!$B$21,"")))))</f>
        <v/>
      </c>
      <c r="L15" s="7" t="str">
        <f>IF(OR($B15="",$F15=""),"",IF($F15="Químico",IF(OR(Datos_base!$B$21="",Datos_base!$B$21=0,Venturi!$B$16=""),"",Venturi!$B$16),Propiedades!$B$12))</f>
        <v/>
      </c>
      <c r="M15" s="7" t="str">
        <f>IF(OR($B15="",$F15=""),"",IF($F15="Químico",IF(OR(Datos_base!$B$21="",Datos_base!$B$21=0,Venturi!$B$17=""),"",Venturi!$B$17),Propiedades!$B$13))</f>
        <v/>
      </c>
      <c r="N15" s="7" t="str">
        <f t="shared" si="0"/>
        <v/>
      </c>
      <c r="O15" s="7" t="str">
        <f t="shared" si="1"/>
        <v/>
      </c>
      <c r="P15" s="7" t="str">
        <f t="shared" si="2"/>
        <v/>
      </c>
      <c r="Q15" s="7" t="str">
        <f t="shared" si="3"/>
        <v/>
      </c>
      <c r="R15" s="7" t="str">
        <f t="shared" si="4"/>
        <v/>
      </c>
      <c r="S15" s="7" t="str">
        <f>IF(OR(G15="",H15="",H15&lt;=0,R15="",O15=""),"",R15*(G15/(H15/1000))*O15^2/(2*Datos_base!$B$6))</f>
        <v/>
      </c>
      <c r="T15" s="7" t="str">
        <f>IF(OR(J15="",O15=""),"",J15*O15^2/(2*Datos_base!$B$6))</f>
        <v/>
      </c>
      <c r="U15" s="7" t="str">
        <f>IF(OR(L15="",O15="",S15="",T15=""),"",L15*Datos_base!$B$6*(S15+T15)/1000)</f>
        <v/>
      </c>
      <c r="V15" s="21" t="str">
        <f t="shared" si="5"/>
        <v/>
      </c>
    </row>
    <row r="16" spans="1:22">
      <c r="A16" s="4" t="s">
        <v>274</v>
      </c>
      <c r="B16" s="6"/>
      <c r="C16" s="6" t="s">
        <v>275</v>
      </c>
      <c r="D16" s="6"/>
      <c r="E16" s="6"/>
      <c r="F16" s="6"/>
      <c r="G16" s="6"/>
      <c r="H16" s="6"/>
      <c r="I16" s="6"/>
      <c r="J16" s="6">
        <v>0</v>
      </c>
      <c r="K16" s="7" t="str">
        <f>IF(OR($B16="",$F16=""),"",IF(Datos_base!$B$5="Pistola cerrada",0,IF($F16="Agua",Datos_base!$B$20,IF($F16="Mezcla",Datos_base!$B$22,IF($F16="Químico",Datos_base!$B$21,"")))))</f>
        <v/>
      </c>
      <c r="L16" s="7" t="str">
        <f>IF(OR($B16="",$F16=""),"",IF($F16="Químico",IF(OR(Datos_base!$B$21="",Datos_base!$B$21=0,Venturi!$B$16=""),"",Venturi!$B$16),Propiedades!$B$12))</f>
        <v/>
      </c>
      <c r="M16" s="7" t="str">
        <f>IF(OR($B16="",$F16=""),"",IF($F16="Químico",IF(OR(Datos_base!$B$21="",Datos_base!$B$21=0,Venturi!$B$17=""),"",Venturi!$B$17),Propiedades!$B$13))</f>
        <v/>
      </c>
      <c r="N16" s="7" t="str">
        <f t="shared" si="0"/>
        <v/>
      </c>
      <c r="O16" s="7" t="str">
        <f t="shared" si="1"/>
        <v/>
      </c>
      <c r="P16" s="7" t="str">
        <f t="shared" si="2"/>
        <v/>
      </c>
      <c r="Q16" s="7" t="str">
        <f t="shared" si="3"/>
        <v/>
      </c>
      <c r="R16" s="7" t="str">
        <f t="shared" si="4"/>
        <v/>
      </c>
      <c r="S16" s="7" t="str">
        <f>IF(OR(G16="",H16="",H16&lt;=0,R16="",O16=""),"",R16*(G16/(H16/1000))*O16^2/(2*Datos_base!$B$6))</f>
        <v/>
      </c>
      <c r="T16" s="7" t="str">
        <f>IF(OR(J16="",O16=""),"",J16*O16^2/(2*Datos_base!$B$6))</f>
        <v/>
      </c>
      <c r="U16" s="7" t="str">
        <f>IF(OR(L16="",O16="",S16="",T16=""),"",L16*Datos_base!$B$6*(S16+T16)/1000)</f>
        <v/>
      </c>
      <c r="V16" s="21" t="str">
        <f t="shared" si="5"/>
        <v/>
      </c>
    </row>
    <row r="17" spans="1:22">
      <c r="A17" s="4" t="s">
        <v>276</v>
      </c>
      <c r="B17" s="6"/>
      <c r="C17" s="6" t="s">
        <v>277</v>
      </c>
      <c r="D17" s="6"/>
      <c r="E17" s="6"/>
      <c r="F17" s="6"/>
      <c r="G17" s="6"/>
      <c r="H17" s="6"/>
      <c r="I17" s="6"/>
      <c r="J17" s="6">
        <v>0</v>
      </c>
      <c r="K17" s="7" t="str">
        <f>IF(OR($B17="",$F17=""),"",IF(Datos_base!$B$5="Pistola cerrada",0,IF($F17="Agua",Datos_base!$B$20,IF($F17="Mezcla",Datos_base!$B$22,IF($F17="Químico",Datos_base!$B$21,"")))))</f>
        <v/>
      </c>
      <c r="L17" s="7" t="str">
        <f>IF(OR($B17="",$F17=""),"",IF($F17="Químico",IF(OR(Datos_base!$B$21="",Datos_base!$B$21=0,Venturi!$B$16=""),"",Venturi!$B$16),Propiedades!$B$12))</f>
        <v/>
      </c>
      <c r="M17" s="7" t="str">
        <f>IF(OR($B17="",$F17=""),"",IF($F17="Químico",IF(OR(Datos_base!$B$21="",Datos_base!$B$21=0,Venturi!$B$17=""),"",Venturi!$B$17),Propiedades!$B$13))</f>
        <v/>
      </c>
      <c r="N17" s="7" t="str">
        <f t="shared" si="0"/>
        <v/>
      </c>
      <c r="O17" s="7" t="str">
        <f t="shared" si="1"/>
        <v/>
      </c>
      <c r="P17" s="7" t="str">
        <f t="shared" si="2"/>
        <v/>
      </c>
      <c r="Q17" s="7" t="str">
        <f t="shared" si="3"/>
        <v/>
      </c>
      <c r="R17" s="7" t="str">
        <f t="shared" si="4"/>
        <v/>
      </c>
      <c r="S17" s="7" t="str">
        <f>IF(OR(G17="",H17="",H17&lt;=0,R17="",O17=""),"",R17*(G17/(H17/1000))*O17^2/(2*Datos_base!$B$6))</f>
        <v/>
      </c>
      <c r="T17" s="7" t="str">
        <f>IF(OR(J17="",O17=""),"",J17*O17^2/(2*Datos_base!$B$6))</f>
        <v/>
      </c>
      <c r="U17" s="7" t="str">
        <f>IF(OR(L17="",O17="",S17="",T17=""),"",L17*Datos_base!$B$6*(S17+T17)/1000)</f>
        <v/>
      </c>
      <c r="V17" s="21" t="str">
        <f t="shared" si="5"/>
        <v/>
      </c>
    </row>
    <row r="18" spans="1:22">
      <c r="A18" s="4" t="s">
        <v>278</v>
      </c>
      <c r="B18" s="6"/>
      <c r="C18" s="6" t="s">
        <v>279</v>
      </c>
      <c r="D18" s="6"/>
      <c r="E18" s="6"/>
      <c r="F18" s="6"/>
      <c r="G18" s="6"/>
      <c r="H18" s="6"/>
      <c r="I18" s="6"/>
      <c r="J18" s="6">
        <v>0</v>
      </c>
      <c r="K18" s="7" t="str">
        <f>IF(OR($B18="",$F18=""),"",IF(Datos_base!$B$5="Pistola cerrada",0,IF($F18="Agua",Datos_base!$B$20,IF($F18="Mezcla",Datos_base!$B$22,IF($F18="Químico",Datos_base!$B$21,"")))))</f>
        <v/>
      </c>
      <c r="L18" s="7" t="str">
        <f>IF(OR($B18="",$F18=""),"",IF($F18="Químico",IF(OR(Datos_base!$B$21="",Datos_base!$B$21=0,Venturi!$B$16=""),"",Venturi!$B$16),Propiedades!$B$12))</f>
        <v/>
      </c>
      <c r="M18" s="7" t="str">
        <f>IF(OR($B18="",$F18=""),"",IF($F18="Químico",IF(OR(Datos_base!$B$21="",Datos_base!$B$21=0,Venturi!$B$17=""),"",Venturi!$B$17),Propiedades!$B$13))</f>
        <v/>
      </c>
      <c r="N18" s="7" t="str">
        <f t="shared" si="0"/>
        <v/>
      </c>
      <c r="O18" s="7" t="str">
        <f t="shared" si="1"/>
        <v/>
      </c>
      <c r="P18" s="7" t="str">
        <f t="shared" si="2"/>
        <v/>
      </c>
      <c r="Q18" s="7" t="str">
        <f t="shared" si="3"/>
        <v/>
      </c>
      <c r="R18" s="7" t="str">
        <f t="shared" si="4"/>
        <v/>
      </c>
      <c r="S18" s="7" t="str">
        <f>IF(OR(G18="",H18="",H18&lt;=0,R18="",O18=""),"",R18*(G18/(H18/1000))*O18^2/(2*Datos_base!$B$6))</f>
        <v/>
      </c>
      <c r="T18" s="7" t="str">
        <f>IF(OR(J18="",O18=""),"",J18*O18^2/(2*Datos_base!$B$6))</f>
        <v/>
      </c>
      <c r="U18" s="7" t="str">
        <f>IF(OR(L18="",O18="",S18="",T18=""),"",L18*Datos_base!$B$6*(S18+T18)/1000)</f>
        <v/>
      </c>
      <c r="V18" s="21" t="str">
        <f t="shared" si="5"/>
        <v/>
      </c>
    </row>
    <row r="19" spans="1:22">
      <c r="A19" s="4" t="s">
        <v>280</v>
      </c>
      <c r="B19" s="6"/>
      <c r="C19" s="6" t="s">
        <v>281</v>
      </c>
      <c r="D19" s="6"/>
      <c r="E19" s="6"/>
      <c r="F19" s="6"/>
      <c r="G19" s="6"/>
      <c r="H19" s="6"/>
      <c r="I19" s="6"/>
      <c r="J19" s="6">
        <v>0</v>
      </c>
      <c r="K19" s="7" t="str">
        <f>IF(OR($B19="",$F19=""),"",IF(Datos_base!$B$5="Pistola cerrada",0,IF($F19="Agua",Datos_base!$B$20,IF($F19="Mezcla",Datos_base!$B$22,IF($F19="Químico",Datos_base!$B$21,"")))))</f>
        <v/>
      </c>
      <c r="L19" s="7" t="str">
        <f>IF(OR($B19="",$F19=""),"",IF($F19="Químico",IF(OR(Datos_base!$B$21="",Datos_base!$B$21=0,Venturi!$B$16=""),"",Venturi!$B$16),Propiedades!$B$12))</f>
        <v/>
      </c>
      <c r="M19" s="7" t="str">
        <f>IF(OR($B19="",$F19=""),"",IF($F19="Químico",IF(OR(Datos_base!$B$21="",Datos_base!$B$21=0,Venturi!$B$17=""),"",Venturi!$B$17),Propiedades!$B$13))</f>
        <v/>
      </c>
      <c r="N19" s="7" t="str">
        <f t="shared" si="0"/>
        <v/>
      </c>
      <c r="O19" s="7" t="str">
        <f t="shared" si="1"/>
        <v/>
      </c>
      <c r="P19" s="7" t="str">
        <f t="shared" si="2"/>
        <v/>
      </c>
      <c r="Q19" s="7" t="str">
        <f t="shared" si="3"/>
        <v/>
      </c>
      <c r="R19" s="7" t="str">
        <f t="shared" si="4"/>
        <v/>
      </c>
      <c r="S19" s="7" t="str">
        <f>IF(OR(G19="",H19="",H19&lt;=0,R19="",O19=""),"",R19*(G19/(H19/1000))*O19^2/(2*Datos_base!$B$6))</f>
        <v/>
      </c>
      <c r="T19" s="7" t="str">
        <f>IF(OR(J19="",O19=""),"",J19*O19^2/(2*Datos_base!$B$6))</f>
        <v/>
      </c>
      <c r="U19" s="7" t="str">
        <f>IF(OR(L19="",O19="",S19="",T19=""),"",L19*Datos_base!$B$6*(S19+T19)/1000)</f>
        <v/>
      </c>
      <c r="V19" s="21" t="str">
        <f t="shared" si="5"/>
        <v/>
      </c>
    </row>
    <row r="20" spans="1:22">
      <c r="A20" s="4" t="s">
        <v>282</v>
      </c>
      <c r="B20" s="6"/>
      <c r="C20" s="6" t="s">
        <v>283</v>
      </c>
      <c r="D20" s="6"/>
      <c r="E20" s="6"/>
      <c r="F20" s="6"/>
      <c r="G20" s="6"/>
      <c r="H20" s="6"/>
      <c r="I20" s="6"/>
      <c r="J20" s="6">
        <v>0</v>
      </c>
      <c r="K20" s="7" t="str">
        <f>IF(OR($B20="",$F20=""),"",IF(Datos_base!$B$5="Pistola cerrada",0,IF($F20="Agua",Datos_base!$B$20,IF($F20="Mezcla",Datos_base!$B$22,IF($F20="Químico",Datos_base!$B$21,"")))))</f>
        <v/>
      </c>
      <c r="L20" s="7" t="str">
        <f>IF(OR($B20="",$F20=""),"",IF($F20="Químico",IF(OR(Datos_base!$B$21="",Datos_base!$B$21=0,Venturi!$B$16=""),"",Venturi!$B$16),Propiedades!$B$12))</f>
        <v/>
      </c>
      <c r="M20" s="7" t="str">
        <f>IF(OR($B20="",$F20=""),"",IF($F20="Químico",IF(OR(Datos_base!$B$21="",Datos_base!$B$21=0,Venturi!$B$17=""),"",Venturi!$B$17),Propiedades!$B$13))</f>
        <v/>
      </c>
      <c r="N20" s="7" t="str">
        <f t="shared" si="0"/>
        <v/>
      </c>
      <c r="O20" s="7" t="str">
        <f t="shared" si="1"/>
        <v/>
      </c>
      <c r="P20" s="7" t="str">
        <f t="shared" si="2"/>
        <v/>
      </c>
      <c r="Q20" s="7" t="str">
        <f t="shared" si="3"/>
        <v/>
      </c>
      <c r="R20" s="7" t="str">
        <f t="shared" si="4"/>
        <v/>
      </c>
      <c r="S20" s="7" t="str">
        <f>IF(OR(G20="",H20="",H20&lt;=0,R20="",O20=""),"",R20*(G20/(H20/1000))*O20^2/(2*Datos_base!$B$6))</f>
        <v/>
      </c>
      <c r="T20" s="7" t="str">
        <f>IF(OR(J20="",O20=""),"",J20*O20^2/(2*Datos_base!$B$6))</f>
        <v/>
      </c>
      <c r="U20" s="7" t="str">
        <f>IF(OR(L20="",O20="",S20="",T20=""),"",L20*Datos_base!$B$6*(S20+T20)/1000)</f>
        <v/>
      </c>
      <c r="V20" s="21" t="str">
        <f t="shared" si="5"/>
        <v/>
      </c>
    </row>
    <row r="21" spans="1:22">
      <c r="A21" s="4" t="s">
        <v>284</v>
      </c>
      <c r="B21" s="6"/>
      <c r="C21" s="6" t="s">
        <v>285</v>
      </c>
      <c r="D21" s="6"/>
      <c r="E21" s="6"/>
      <c r="F21" s="6"/>
      <c r="G21" s="6"/>
      <c r="H21" s="6"/>
      <c r="I21" s="6"/>
      <c r="J21" s="6">
        <v>0</v>
      </c>
      <c r="K21" s="7" t="str">
        <f>IF(OR($B21="",$F21=""),"",IF(Datos_base!$B$5="Pistola cerrada",0,IF($F21="Agua",Datos_base!$B$20,IF($F21="Mezcla",Datos_base!$B$22,IF($F21="Químico",Datos_base!$B$21,"")))))</f>
        <v/>
      </c>
      <c r="L21" s="7" t="str">
        <f>IF(OR($B21="",$F21=""),"",IF($F21="Químico",IF(OR(Datos_base!$B$21="",Datos_base!$B$21=0,Venturi!$B$16=""),"",Venturi!$B$16),Propiedades!$B$12))</f>
        <v/>
      </c>
      <c r="M21" s="7" t="str">
        <f>IF(OR($B21="",$F21=""),"",IF($F21="Químico",IF(OR(Datos_base!$B$21="",Datos_base!$B$21=0,Venturi!$B$17=""),"",Venturi!$B$17),Propiedades!$B$13))</f>
        <v/>
      </c>
      <c r="N21" s="7" t="str">
        <f t="shared" si="0"/>
        <v/>
      </c>
      <c r="O21" s="7" t="str">
        <f t="shared" si="1"/>
        <v/>
      </c>
      <c r="P21" s="7" t="str">
        <f t="shared" si="2"/>
        <v/>
      </c>
      <c r="Q21" s="7" t="str">
        <f t="shared" si="3"/>
        <v/>
      </c>
      <c r="R21" s="7" t="str">
        <f t="shared" si="4"/>
        <v/>
      </c>
      <c r="S21" s="7" t="str">
        <f>IF(OR(G21="",H21="",H21&lt;=0,R21="",O21=""),"",R21*(G21/(H21/1000))*O21^2/(2*Datos_base!$B$6))</f>
        <v/>
      </c>
      <c r="T21" s="7" t="str">
        <f>IF(OR(J21="",O21=""),"",J21*O21^2/(2*Datos_base!$B$6))</f>
        <v/>
      </c>
      <c r="U21" s="7" t="str">
        <f>IF(OR(L21="",O21="",S21="",T21=""),"",L21*Datos_base!$B$6*(S21+T21)/1000)</f>
        <v/>
      </c>
      <c r="V21" s="21" t="str">
        <f t="shared" si="5"/>
        <v/>
      </c>
    </row>
    <row r="22" spans="1:22">
      <c r="A22" s="4" t="s">
        <v>286</v>
      </c>
      <c r="B22" s="6"/>
      <c r="C22" s="6" t="s">
        <v>287</v>
      </c>
      <c r="D22" s="6"/>
      <c r="E22" s="6"/>
      <c r="F22" s="6"/>
      <c r="G22" s="6"/>
      <c r="H22" s="6"/>
      <c r="I22" s="6"/>
      <c r="J22" s="6">
        <v>0</v>
      </c>
      <c r="K22" s="7" t="str">
        <f>IF(OR($B22="",$F22=""),"",IF(Datos_base!$B$5="Pistola cerrada",0,IF($F22="Agua",Datos_base!$B$20,IF($F22="Mezcla",Datos_base!$B$22,IF($F22="Químico",Datos_base!$B$21,"")))))</f>
        <v/>
      </c>
      <c r="L22" s="7" t="str">
        <f>IF(OR($B22="",$F22=""),"",IF($F22="Químico",IF(OR(Datos_base!$B$21="",Datos_base!$B$21=0,Venturi!$B$16=""),"",Venturi!$B$16),Propiedades!$B$12))</f>
        <v/>
      </c>
      <c r="M22" s="7" t="str">
        <f>IF(OR($B22="",$F22=""),"",IF($F22="Químico",IF(OR(Datos_base!$B$21="",Datos_base!$B$21=0,Venturi!$B$17=""),"",Venturi!$B$17),Propiedades!$B$13))</f>
        <v/>
      </c>
      <c r="N22" s="7" t="str">
        <f t="shared" si="0"/>
        <v/>
      </c>
      <c r="O22" s="7" t="str">
        <f t="shared" si="1"/>
        <v/>
      </c>
      <c r="P22" s="7" t="str">
        <f t="shared" si="2"/>
        <v/>
      </c>
      <c r="Q22" s="7" t="str">
        <f t="shared" si="3"/>
        <v/>
      </c>
      <c r="R22" s="7" t="str">
        <f t="shared" si="4"/>
        <v/>
      </c>
      <c r="S22" s="7" t="str">
        <f>IF(OR(G22="",H22="",H22&lt;=0,R22="",O22=""),"",R22*(G22/(H22/1000))*O22^2/(2*Datos_base!$B$6))</f>
        <v/>
      </c>
      <c r="T22" s="7" t="str">
        <f>IF(OR(J22="",O22=""),"",J22*O22^2/(2*Datos_base!$B$6))</f>
        <v/>
      </c>
      <c r="U22" s="7" t="str">
        <f>IF(OR(L22="",O22="",S22="",T22=""),"",L22*Datos_base!$B$6*(S22+T22)/1000)</f>
        <v/>
      </c>
      <c r="V22" s="21" t="str">
        <f t="shared" si="5"/>
        <v/>
      </c>
    </row>
    <row r="23" spans="1:22">
      <c r="A23" s="4" t="s">
        <v>288</v>
      </c>
      <c r="B23" s="6"/>
      <c r="C23" s="6" t="s">
        <v>289</v>
      </c>
      <c r="D23" s="6"/>
      <c r="E23" s="6"/>
      <c r="F23" s="6"/>
      <c r="G23" s="6"/>
      <c r="H23" s="6"/>
      <c r="I23" s="6"/>
      <c r="J23" s="6">
        <v>0</v>
      </c>
      <c r="K23" s="7" t="str">
        <f>IF(OR($B23="",$F23=""),"",IF(Datos_base!$B$5="Pistola cerrada",0,IF($F23="Agua",Datos_base!$B$20,IF($F23="Mezcla",Datos_base!$B$22,IF($F23="Químico",Datos_base!$B$21,"")))))</f>
        <v/>
      </c>
      <c r="L23" s="7" t="str">
        <f>IF(OR($B23="",$F23=""),"",IF($F23="Químico",IF(OR(Datos_base!$B$21="",Datos_base!$B$21=0,Venturi!$B$16=""),"",Venturi!$B$16),Propiedades!$B$12))</f>
        <v/>
      </c>
      <c r="M23" s="7" t="str">
        <f>IF(OR($B23="",$F23=""),"",IF($F23="Químico",IF(OR(Datos_base!$B$21="",Datos_base!$B$21=0,Venturi!$B$17=""),"",Venturi!$B$17),Propiedades!$B$13))</f>
        <v/>
      </c>
      <c r="N23" s="7" t="str">
        <f t="shared" si="0"/>
        <v/>
      </c>
      <c r="O23" s="7" t="str">
        <f t="shared" si="1"/>
        <v/>
      </c>
      <c r="P23" s="7" t="str">
        <f t="shared" si="2"/>
        <v/>
      </c>
      <c r="Q23" s="7" t="str">
        <f t="shared" si="3"/>
        <v/>
      </c>
      <c r="R23" s="7" t="str">
        <f t="shared" si="4"/>
        <v/>
      </c>
      <c r="S23" s="7" t="str">
        <f>IF(OR(G23="",H23="",H23&lt;=0,R23="",O23=""),"",R23*(G23/(H23/1000))*O23^2/(2*Datos_base!$B$6))</f>
        <v/>
      </c>
      <c r="T23" s="7" t="str">
        <f>IF(OR(J23="",O23=""),"",J23*O23^2/(2*Datos_base!$B$6))</f>
        <v/>
      </c>
      <c r="U23" s="7" t="str">
        <f>IF(OR(L23="",O23="",S23="",T23=""),"",L23*Datos_base!$B$6*(S23+T23)/1000)</f>
        <v/>
      </c>
      <c r="V23" s="21" t="str">
        <f t="shared" si="5"/>
        <v/>
      </c>
    </row>
    <row r="24" spans="1:22">
      <c r="A24" s="4" t="s">
        <v>290</v>
      </c>
      <c r="B24" s="6"/>
      <c r="C24" s="6" t="s">
        <v>291</v>
      </c>
      <c r="D24" s="6"/>
      <c r="E24" s="6"/>
      <c r="F24" s="6"/>
      <c r="G24" s="6"/>
      <c r="H24" s="6"/>
      <c r="I24" s="6"/>
      <c r="J24" s="6">
        <v>0</v>
      </c>
      <c r="K24" s="7" t="str">
        <f>IF(OR($B24="",$F24=""),"",IF(Datos_base!$B$5="Pistola cerrada",0,IF($F24="Agua",Datos_base!$B$20,IF($F24="Mezcla",Datos_base!$B$22,IF($F24="Químico",Datos_base!$B$21,"")))))</f>
        <v/>
      </c>
      <c r="L24" s="7" t="str">
        <f>IF(OR($B24="",$F24=""),"",IF($F24="Químico",IF(OR(Datos_base!$B$21="",Datos_base!$B$21=0,Venturi!$B$16=""),"",Venturi!$B$16),Propiedades!$B$12))</f>
        <v/>
      </c>
      <c r="M24" s="7" t="str">
        <f>IF(OR($B24="",$F24=""),"",IF($F24="Químico",IF(OR(Datos_base!$B$21="",Datos_base!$B$21=0,Venturi!$B$17=""),"",Venturi!$B$17),Propiedades!$B$13))</f>
        <v/>
      </c>
      <c r="N24" s="7" t="str">
        <f t="shared" si="0"/>
        <v/>
      </c>
      <c r="O24" s="7" t="str">
        <f t="shared" si="1"/>
        <v/>
      </c>
      <c r="P24" s="7" t="str">
        <f t="shared" si="2"/>
        <v/>
      </c>
      <c r="Q24" s="7" t="str">
        <f t="shared" si="3"/>
        <v/>
      </c>
      <c r="R24" s="7" t="str">
        <f t="shared" si="4"/>
        <v/>
      </c>
      <c r="S24" s="7" t="str">
        <f>IF(OR(G24="",H24="",H24&lt;=0,R24="",O24=""),"",R24*(G24/(H24/1000))*O24^2/(2*Datos_base!$B$6))</f>
        <v/>
      </c>
      <c r="T24" s="7" t="str">
        <f>IF(OR(J24="",O24=""),"",J24*O24^2/(2*Datos_base!$B$6))</f>
        <v/>
      </c>
      <c r="U24" s="7" t="str">
        <f>IF(OR(L24="",O24="",S24="",T24=""),"",L24*Datos_base!$B$6*(S24+T24)/1000)</f>
        <v/>
      </c>
      <c r="V24" s="21" t="str">
        <f t="shared" si="5"/>
        <v/>
      </c>
    </row>
    <row r="25" spans="1:22">
      <c r="A25" s="4" t="s">
        <v>292</v>
      </c>
      <c r="B25" s="6"/>
      <c r="C25" s="6" t="s">
        <v>293</v>
      </c>
      <c r="D25" s="6"/>
      <c r="E25" s="6"/>
      <c r="F25" s="6"/>
      <c r="G25" s="6"/>
      <c r="H25" s="6"/>
      <c r="I25" s="6"/>
      <c r="J25" s="6">
        <v>0</v>
      </c>
      <c r="K25" s="7" t="str">
        <f>IF(OR($B25="",$F25=""),"",IF(Datos_base!$B$5="Pistola cerrada",0,IF($F25="Agua",Datos_base!$B$20,IF($F25="Mezcla",Datos_base!$B$22,IF($F25="Químico",Datos_base!$B$21,"")))))</f>
        <v/>
      </c>
      <c r="L25" s="7" t="str">
        <f>IF(OR($B25="",$F25=""),"",IF($F25="Químico",IF(OR(Datos_base!$B$21="",Datos_base!$B$21=0,Venturi!$B$16=""),"",Venturi!$B$16),Propiedades!$B$12))</f>
        <v/>
      </c>
      <c r="M25" s="7" t="str">
        <f>IF(OR($B25="",$F25=""),"",IF($F25="Químico",IF(OR(Datos_base!$B$21="",Datos_base!$B$21=0,Venturi!$B$17=""),"",Venturi!$B$17),Propiedades!$B$13))</f>
        <v/>
      </c>
      <c r="N25" s="7" t="str">
        <f t="shared" si="0"/>
        <v/>
      </c>
      <c r="O25" s="7" t="str">
        <f t="shared" si="1"/>
        <v/>
      </c>
      <c r="P25" s="7" t="str">
        <f t="shared" si="2"/>
        <v/>
      </c>
      <c r="Q25" s="7" t="str">
        <f t="shared" si="3"/>
        <v/>
      </c>
      <c r="R25" s="7" t="str">
        <f t="shared" si="4"/>
        <v/>
      </c>
      <c r="S25" s="7" t="str">
        <f>IF(OR(G25="",H25="",H25&lt;=0,R25="",O25=""),"",R25*(G25/(H25/1000))*O25^2/(2*Datos_base!$B$6))</f>
        <v/>
      </c>
      <c r="T25" s="7" t="str">
        <f>IF(OR(J25="",O25=""),"",J25*O25^2/(2*Datos_base!$B$6))</f>
        <v/>
      </c>
      <c r="U25" s="7" t="str">
        <f>IF(OR(L25="",O25="",S25="",T25=""),"",L25*Datos_base!$B$6*(S25+T25)/1000)</f>
        <v/>
      </c>
      <c r="V25" s="21" t="str">
        <f t="shared" si="5"/>
        <v/>
      </c>
    </row>
    <row r="26" spans="1:22">
      <c r="A26" s="4" t="s">
        <v>294</v>
      </c>
      <c r="B26" s="6"/>
      <c r="C26" s="6" t="s">
        <v>295</v>
      </c>
      <c r="D26" s="6"/>
      <c r="E26" s="6"/>
      <c r="F26" s="6"/>
      <c r="G26" s="6"/>
      <c r="H26" s="6"/>
      <c r="I26" s="6"/>
      <c r="J26" s="6">
        <v>0</v>
      </c>
      <c r="K26" s="7" t="str">
        <f>IF(OR($B26="",$F26=""),"",IF(Datos_base!$B$5="Pistola cerrada",0,IF($F26="Agua",Datos_base!$B$20,IF($F26="Mezcla",Datos_base!$B$22,IF($F26="Químico",Datos_base!$B$21,"")))))</f>
        <v/>
      </c>
      <c r="L26" s="7" t="str">
        <f>IF(OR($B26="",$F26=""),"",IF($F26="Químico",IF(OR(Datos_base!$B$21="",Datos_base!$B$21=0,Venturi!$B$16=""),"",Venturi!$B$16),Propiedades!$B$12))</f>
        <v/>
      </c>
      <c r="M26" s="7" t="str">
        <f>IF(OR($B26="",$F26=""),"",IF($F26="Químico",IF(OR(Datos_base!$B$21="",Datos_base!$B$21=0,Venturi!$B$17=""),"",Venturi!$B$17),Propiedades!$B$13))</f>
        <v/>
      </c>
      <c r="N26" s="7" t="str">
        <f t="shared" si="0"/>
        <v/>
      </c>
      <c r="O26" s="7" t="str">
        <f t="shared" si="1"/>
        <v/>
      </c>
      <c r="P26" s="7" t="str">
        <f t="shared" si="2"/>
        <v/>
      </c>
      <c r="Q26" s="7" t="str">
        <f t="shared" si="3"/>
        <v/>
      </c>
      <c r="R26" s="7" t="str">
        <f t="shared" si="4"/>
        <v/>
      </c>
      <c r="S26" s="7" t="str">
        <f>IF(OR(G26="",H26="",H26&lt;=0,R26="",O26=""),"",R26*(G26/(H26/1000))*O26^2/(2*Datos_base!$B$6))</f>
        <v/>
      </c>
      <c r="T26" s="7" t="str">
        <f>IF(OR(J26="",O26=""),"",J26*O26^2/(2*Datos_base!$B$6))</f>
        <v/>
      </c>
      <c r="U26" s="7" t="str">
        <f>IF(OR(L26="",O26="",S26="",T26=""),"",L26*Datos_base!$B$6*(S26+T26)/1000)</f>
        <v/>
      </c>
      <c r="V26" s="21" t="str">
        <f t="shared" si="5"/>
        <v/>
      </c>
    </row>
    <row r="27" spans="1:22">
      <c r="A27" s="4" t="s">
        <v>296</v>
      </c>
      <c r="B27" s="6"/>
      <c r="C27" s="6" t="s">
        <v>297</v>
      </c>
      <c r="D27" s="6"/>
      <c r="E27" s="6"/>
      <c r="F27" s="6"/>
      <c r="G27" s="6"/>
      <c r="H27" s="6"/>
      <c r="I27" s="6"/>
      <c r="J27" s="6">
        <v>0</v>
      </c>
      <c r="K27" s="7" t="str">
        <f>IF(OR($B27="",$F27=""),"",IF(Datos_base!$B$5="Pistola cerrada",0,IF($F27="Agua",Datos_base!$B$20,IF($F27="Mezcla",Datos_base!$B$22,IF($F27="Químico",Datos_base!$B$21,"")))))</f>
        <v/>
      </c>
      <c r="L27" s="7" t="str">
        <f>IF(OR($B27="",$F27=""),"",IF($F27="Químico",IF(OR(Datos_base!$B$21="",Datos_base!$B$21=0,Venturi!$B$16=""),"",Venturi!$B$16),Propiedades!$B$12))</f>
        <v/>
      </c>
      <c r="M27" s="7" t="str">
        <f>IF(OR($B27="",$F27=""),"",IF($F27="Químico",IF(OR(Datos_base!$B$21="",Datos_base!$B$21=0,Venturi!$B$17=""),"",Venturi!$B$17),Propiedades!$B$13))</f>
        <v/>
      </c>
      <c r="N27" s="7" t="str">
        <f t="shared" si="0"/>
        <v/>
      </c>
      <c r="O27" s="7" t="str">
        <f t="shared" si="1"/>
        <v/>
      </c>
      <c r="P27" s="7" t="str">
        <f t="shared" si="2"/>
        <v/>
      </c>
      <c r="Q27" s="7" t="str">
        <f t="shared" si="3"/>
        <v/>
      </c>
      <c r="R27" s="7" t="str">
        <f t="shared" si="4"/>
        <v/>
      </c>
      <c r="S27" s="7" t="str">
        <f>IF(OR(G27="",H27="",H27&lt;=0,R27="",O27=""),"",R27*(G27/(H27/1000))*O27^2/(2*Datos_base!$B$6))</f>
        <v/>
      </c>
      <c r="T27" s="7" t="str">
        <f>IF(OR(J27="",O27=""),"",J27*O27^2/(2*Datos_base!$B$6))</f>
        <v/>
      </c>
      <c r="U27" s="7" t="str">
        <f>IF(OR(L27="",O27="",S27="",T27=""),"",L27*Datos_base!$B$6*(S27+T27)/1000)</f>
        <v/>
      </c>
      <c r="V27" s="21" t="str">
        <f t="shared" si="5"/>
        <v/>
      </c>
    </row>
    <row r="28" spans="1:22">
      <c r="A28" s="2"/>
      <c r="B28" s="2"/>
      <c r="C28" s="2"/>
      <c r="D28" s="2"/>
      <c r="E28" s="2"/>
      <c r="F28" s="2"/>
      <c r="G28" s="2"/>
      <c r="H28" s="2"/>
      <c r="I28" s="2"/>
      <c r="J28" s="2"/>
      <c r="K28" s="2"/>
      <c r="L28" s="2"/>
      <c r="M28" s="2"/>
      <c r="N28" s="2"/>
      <c r="O28" s="2"/>
      <c r="P28" s="2"/>
      <c r="Q28" s="2"/>
      <c r="R28" s="2"/>
      <c r="S28" s="2"/>
      <c r="T28" s="2"/>
      <c r="U28" s="2"/>
    </row>
    <row r="29" spans="1:22">
      <c r="A29" s="2"/>
      <c r="B29" s="2"/>
      <c r="C29" s="2"/>
      <c r="D29" s="2"/>
      <c r="E29" s="2"/>
      <c r="F29" s="2"/>
      <c r="G29" s="2"/>
      <c r="H29" s="2"/>
      <c r="I29" s="2"/>
      <c r="J29" s="2"/>
      <c r="K29" s="2"/>
      <c r="L29" s="2"/>
      <c r="M29" s="2"/>
      <c r="N29" s="2"/>
      <c r="O29" s="2"/>
      <c r="P29" s="2"/>
      <c r="Q29" s="2"/>
      <c r="R29" s="2"/>
      <c r="S29" s="2"/>
      <c r="T29" s="2"/>
      <c r="U29" s="2"/>
    </row>
    <row r="30" spans="1:22">
      <c r="A30" s="26" t="s">
        <v>298</v>
      </c>
      <c r="B30" s="26"/>
      <c r="C30" s="2"/>
      <c r="D30" s="2"/>
      <c r="E30" s="2"/>
      <c r="F30" s="2"/>
      <c r="G30" s="2"/>
      <c r="H30" s="2"/>
      <c r="I30" s="2"/>
      <c r="J30" s="2"/>
      <c r="K30" s="2"/>
      <c r="L30" s="2"/>
      <c r="M30" s="2"/>
      <c r="N30" s="2"/>
      <c r="O30" s="2"/>
      <c r="P30" s="2"/>
      <c r="Q30" s="2"/>
      <c r="R30" s="2"/>
      <c r="S30" s="2"/>
      <c r="T30" s="2"/>
      <c r="U30" s="2"/>
    </row>
    <row r="31" spans="1:22" ht="41.4">
      <c r="A31" s="4" t="s">
        <v>299</v>
      </c>
      <c r="B31" s="7">
        <f>SUMIF($B$8:$B$27,"Succión",$U$8:$U$27)</f>
        <v>0.38888477908565733</v>
      </c>
      <c r="C31" s="3" t="s">
        <v>199</v>
      </c>
      <c r="D31" s="2"/>
      <c r="E31" s="2"/>
      <c r="F31" s="2"/>
      <c r="G31" s="2"/>
      <c r="H31" s="2"/>
      <c r="I31" s="2"/>
      <c r="J31" s="2"/>
      <c r="K31" s="2"/>
      <c r="L31" s="2"/>
      <c r="M31" s="2"/>
      <c r="N31" s="2"/>
      <c r="O31" s="2"/>
      <c r="P31" s="2"/>
      <c r="Q31" s="2"/>
      <c r="R31" s="2"/>
      <c r="S31" s="2"/>
      <c r="T31" s="2"/>
      <c r="U31" s="2"/>
    </row>
    <row r="32" spans="1:22" ht="55.2">
      <c r="A32" s="4" t="s">
        <v>300</v>
      </c>
      <c r="B32" s="7">
        <f>SUMIF($B$8:$B$27,"Antes Venturi",$U$8:$U$27)</f>
        <v>0</v>
      </c>
      <c r="C32" s="3" t="s">
        <v>199</v>
      </c>
      <c r="D32" s="2"/>
      <c r="E32" s="2"/>
      <c r="F32" s="2"/>
      <c r="G32" s="2"/>
      <c r="H32" s="2"/>
      <c r="I32" s="2"/>
      <c r="J32" s="2"/>
      <c r="K32" s="2"/>
      <c r="L32" s="2"/>
      <c r="M32" s="2"/>
      <c r="N32" s="2"/>
      <c r="O32" s="2"/>
      <c r="P32" s="2"/>
      <c r="Q32" s="2"/>
      <c r="R32" s="2"/>
      <c r="S32" s="2"/>
      <c r="T32" s="2"/>
      <c r="U32" s="2"/>
    </row>
    <row r="33" spans="1:21" ht="69">
      <c r="A33" s="4" t="s">
        <v>301</v>
      </c>
      <c r="B33" s="7">
        <f>SUMIF($B$8:$B$27,"Después Venturi",$U$8:$U$27)</f>
        <v>1.0759145554703184</v>
      </c>
      <c r="C33" s="3" t="s">
        <v>199</v>
      </c>
      <c r="D33" s="2"/>
      <c r="E33" s="2"/>
      <c r="F33" s="2"/>
      <c r="G33" s="2"/>
      <c r="H33" s="2"/>
      <c r="I33" s="2"/>
      <c r="J33" s="2"/>
      <c r="K33" s="2"/>
      <c r="L33" s="2"/>
      <c r="M33" s="2"/>
      <c r="N33" s="2"/>
      <c r="O33" s="2"/>
      <c r="P33" s="2"/>
      <c r="Q33" s="2"/>
      <c r="R33" s="2"/>
      <c r="S33" s="2"/>
      <c r="T33" s="2"/>
      <c r="U33" s="2"/>
    </row>
    <row r="34" spans="1:21" ht="41.4">
      <c r="A34" s="4" t="s">
        <v>302</v>
      </c>
      <c r="B34" s="7">
        <f>SUMIF($B$8:$B$27,"Químicos",$U$8:$U$27)</f>
        <v>0</v>
      </c>
      <c r="C34" s="3" t="s">
        <v>199</v>
      </c>
      <c r="D34" s="2"/>
      <c r="E34" s="2"/>
      <c r="F34" s="2"/>
      <c r="G34" s="2"/>
      <c r="H34" s="2"/>
      <c r="I34" s="2"/>
      <c r="J34" s="2"/>
      <c r="K34" s="2"/>
      <c r="L34" s="2"/>
      <c r="M34" s="2"/>
      <c r="N34" s="2"/>
      <c r="O34" s="2"/>
      <c r="P34" s="2"/>
      <c r="Q34" s="2"/>
      <c r="R34" s="2"/>
      <c r="S34" s="2"/>
      <c r="T34" s="2"/>
      <c r="U34" s="2"/>
    </row>
    <row r="35" spans="1:21" ht="82.8">
      <c r="A35" s="4" t="s">
        <v>303</v>
      </c>
      <c r="B35" s="7">
        <f>COUNTIFS($B$8:$B$27,"Succión",$V$8:$V$27,"INCOMPLETO")+COUNTIFS($B$8:$B$27,"Antes Venturi",$V$8:$V$27,"INCOMPLETO")+COUNTIFS($B$8:$B$27,"Después Venturi",$V$8:$V$27,"INCOMPLETO")+IF(OR(Datos_base!$B$5="Prelavado",Datos_base!$B$5="Jabón",Datos_base!$B$5="Cera"),COUNTIFS($B$8:$B$27,"Químicos",$V$8:$V$27,"INCOMPLETO"),0)</f>
        <v>0</v>
      </c>
      <c r="C35" s="3" t="s">
        <v>304</v>
      </c>
      <c r="D35" s="2"/>
      <c r="E35" s="2"/>
      <c r="F35" s="2"/>
      <c r="G35" s="2"/>
      <c r="H35" s="2"/>
      <c r="I35" s="2"/>
      <c r="J35" s="2"/>
      <c r="K35" s="2"/>
      <c r="L35" s="2"/>
      <c r="M35" s="2"/>
      <c r="N35" s="2"/>
      <c r="O35" s="2"/>
      <c r="P35" s="2"/>
      <c r="Q35" s="2"/>
      <c r="R35" s="2"/>
      <c r="S35" s="2"/>
      <c r="T35" s="2"/>
      <c r="U35" s="2"/>
    </row>
    <row r="36" spans="1:21" ht="69">
      <c r="A36" s="4" t="s">
        <v>305</v>
      </c>
      <c r="B36" s="7" t="str">
        <f>IF(B35=0,"GEOMETRÍA DECLARADA PARA TRAMOS ACTIVOS","PENDIENTE: completar longitud, diámetro interno y rugosidad")</f>
        <v>GEOMETRÍA DECLARADA PARA TRAMOS ACTIVOS</v>
      </c>
      <c r="C36" s="3" t="s">
        <v>39</v>
      </c>
      <c r="D36" s="2"/>
      <c r="E36" s="2"/>
      <c r="F36" s="2"/>
      <c r="G36" s="2"/>
      <c r="H36" s="2"/>
      <c r="I36" s="2"/>
      <c r="J36" s="2"/>
      <c r="K36" s="2"/>
      <c r="L36" s="2"/>
      <c r="M36" s="2"/>
      <c r="N36" s="2"/>
      <c r="O36" s="2"/>
      <c r="P36" s="2"/>
      <c r="Q36" s="2"/>
      <c r="R36" s="2"/>
      <c r="S36" s="2"/>
      <c r="T36" s="2"/>
      <c r="U36" s="2"/>
    </row>
    <row r="37" spans="1:21" ht="69">
      <c r="A37" s="4" t="s">
        <v>306</v>
      </c>
      <c r="B37" s="7">
        <f>COUNTIFS($B$8:$B$27,"Succión",$V$8:$V$27,"INCOMPLETO")</f>
        <v>0</v>
      </c>
      <c r="C37" s="3" t="s">
        <v>304</v>
      </c>
      <c r="D37" s="2"/>
      <c r="E37" s="2"/>
      <c r="F37" s="2"/>
      <c r="G37" s="2"/>
      <c r="H37" s="2"/>
      <c r="I37" s="2"/>
      <c r="J37" s="2"/>
      <c r="K37" s="2"/>
      <c r="L37" s="2"/>
      <c r="M37" s="2"/>
      <c r="N37" s="2"/>
      <c r="O37" s="2"/>
      <c r="P37" s="2"/>
      <c r="Q37" s="2"/>
      <c r="R37" s="2"/>
      <c r="S37" s="2"/>
      <c r="T37" s="2"/>
      <c r="U37" s="2"/>
    </row>
    <row r="38" spans="1:21" ht="55.2">
      <c r="A38" s="4" t="s">
        <v>307</v>
      </c>
      <c r="B38" s="7" t="str">
        <f>IF(B37=0,"SUCCIÓN OK","PENDIENTE: completar geometría de succión")</f>
        <v>SUCCIÓN OK</v>
      </c>
      <c r="C38" s="3" t="s">
        <v>39</v>
      </c>
      <c r="D38" s="2"/>
      <c r="E38" s="2"/>
      <c r="F38" s="2"/>
      <c r="G38" s="2"/>
      <c r="H38" s="2"/>
      <c r="I38" s="2"/>
      <c r="J38" s="2"/>
      <c r="K38" s="2"/>
      <c r="L38" s="2"/>
      <c r="M38" s="2"/>
      <c r="N38" s="2"/>
      <c r="O38" s="2"/>
      <c r="P38" s="2"/>
      <c r="Q38" s="2"/>
      <c r="R38" s="2"/>
      <c r="S38" s="2"/>
      <c r="T38" s="2"/>
      <c r="U38" s="2"/>
    </row>
    <row r="39" spans="1:21" ht="96.6">
      <c r="A39" s="4" t="s">
        <v>308</v>
      </c>
      <c r="B39" s="7">
        <f>COUNTIFS($B$8:$B$27,"Antes Venturi",$V$8:$V$27,"INCOMPLETO")+COUNTIFS($B$8:$B$27,"Después Venturi",$V$8:$V$27,"INCOMPLETO")</f>
        <v>0</v>
      </c>
      <c r="C39" s="3" t="s">
        <v>304</v>
      </c>
      <c r="D39" s="2"/>
      <c r="E39" s="2"/>
      <c r="F39" s="2"/>
      <c r="G39" s="2"/>
      <c r="H39" s="2"/>
      <c r="I39" s="2"/>
      <c r="J39" s="2"/>
      <c r="K39" s="2"/>
      <c r="L39" s="2"/>
      <c r="M39" s="2"/>
      <c r="N39" s="2"/>
      <c r="O39" s="2"/>
      <c r="P39" s="2"/>
      <c r="Q39" s="2"/>
      <c r="R39" s="2"/>
      <c r="S39" s="2"/>
      <c r="T39" s="2"/>
      <c r="U39" s="2"/>
    </row>
    <row r="40" spans="1:21" ht="82.8">
      <c r="A40" s="4" t="s">
        <v>309</v>
      </c>
      <c r="B40" s="7" t="str">
        <f>IF(B39=0,"RECORRIDO DE PRESIÓN OK","PENDIENTE: completar geometría antes/después Venturi")</f>
        <v>RECORRIDO DE PRESIÓN OK</v>
      </c>
      <c r="C40" s="3" t="s">
        <v>39</v>
      </c>
      <c r="D40" s="2"/>
      <c r="E40" s="2"/>
      <c r="F40" s="2"/>
      <c r="G40" s="2"/>
      <c r="H40" s="2"/>
      <c r="I40" s="2"/>
      <c r="J40" s="2"/>
      <c r="K40" s="2"/>
      <c r="L40" s="2"/>
      <c r="M40" s="2"/>
      <c r="N40" s="2"/>
      <c r="O40" s="2"/>
      <c r="P40" s="2"/>
      <c r="Q40" s="2"/>
      <c r="R40" s="2"/>
      <c r="S40" s="2"/>
      <c r="T40" s="2"/>
      <c r="U40" s="2"/>
    </row>
  </sheetData>
  <mergeCells count="3">
    <mergeCell ref="A1:U1"/>
    <mergeCell ref="A2:U2"/>
    <mergeCell ref="A30:B30"/>
  </mergeCells>
  <dataValidations count="2">
    <dataValidation type="list" sqref="B8:B27" xr:uid="{00000000-0002-0000-0600-000000000000}">
      <formula1>"Succión,Antes Venturi,Después Venturi,Químicos"</formula1>
    </dataValidation>
    <dataValidation type="list" sqref="F8:F27" xr:uid="{00000000-0002-0000-0600-000001000000}">
      <formula1>"Agua,Mezcla,Químico"</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3"/>
  <sheetViews>
    <sheetView workbookViewId="0">
      <pane ySplit="4" topLeftCell="A8" activePane="bottomLeft" state="frozen"/>
      <selection pane="bottomLeft" activeCell="B19" sqref="B19"/>
    </sheetView>
  </sheetViews>
  <sheetFormatPr baseColWidth="10" defaultColWidth="8.796875" defaultRowHeight="13.8"/>
  <cols>
    <col min="1" max="1" width="44" customWidth="1"/>
    <col min="2" max="2" width="37" customWidth="1"/>
    <col min="3" max="3" width="18" customWidth="1"/>
    <col min="4" max="4" width="22" customWidth="1"/>
    <col min="5" max="5" width="85" customWidth="1"/>
  </cols>
  <sheetData>
    <row r="1" spans="1:5" ht="30" customHeight="1">
      <c r="A1" s="23" t="s">
        <v>310</v>
      </c>
      <c r="B1" s="23"/>
      <c r="C1" s="23"/>
      <c r="D1" s="23"/>
      <c r="E1" s="23"/>
    </row>
    <row r="2" spans="1:5" ht="31.95" customHeight="1">
      <c r="A2" s="24" t="s">
        <v>311</v>
      </c>
      <c r="B2" s="24"/>
      <c r="C2" s="24"/>
      <c r="D2" s="24"/>
      <c r="E2" s="24"/>
    </row>
    <row r="4" spans="1:5" ht="30" customHeight="1">
      <c r="A4" s="1" t="s">
        <v>312</v>
      </c>
      <c r="B4" s="1" t="s">
        <v>33</v>
      </c>
      <c r="C4" s="1" t="s">
        <v>34</v>
      </c>
      <c r="D4" s="1" t="s">
        <v>35</v>
      </c>
      <c r="E4" s="1" t="s">
        <v>122</v>
      </c>
    </row>
    <row r="5" spans="1:5">
      <c r="A5" s="4" t="s">
        <v>50</v>
      </c>
      <c r="B5" s="11">
        <f>IF(Datos_base!B8="","",Datos_base!B8)</f>
        <v>1.5</v>
      </c>
      <c r="C5" s="2" t="s">
        <v>51</v>
      </c>
      <c r="D5" s="2" t="s">
        <v>313</v>
      </c>
      <c r="E5" s="2" t="s">
        <v>314</v>
      </c>
    </row>
    <row r="6" spans="1:5">
      <c r="A6" s="4" t="s">
        <v>315</v>
      </c>
      <c r="B6" s="15">
        <v>0</v>
      </c>
      <c r="C6" s="2" t="s">
        <v>199</v>
      </c>
      <c r="D6" s="2" t="s">
        <v>52</v>
      </c>
      <c r="E6" s="2" t="s">
        <v>316</v>
      </c>
    </row>
    <row r="7" spans="1:5">
      <c r="A7" s="4" t="s">
        <v>317</v>
      </c>
      <c r="B7" s="15">
        <v>0</v>
      </c>
      <c r="C7" s="2" t="s">
        <v>199</v>
      </c>
      <c r="D7" s="2" t="s">
        <v>52</v>
      </c>
      <c r="E7" s="2" t="s">
        <v>318</v>
      </c>
    </row>
    <row r="8" spans="1:5">
      <c r="A8" s="4" t="s">
        <v>319</v>
      </c>
      <c r="B8" s="11">
        <f>IF(Tuberias!$B$38&lt;&gt;"SUCCIÓN OK","",Tuberias!$B$31)</f>
        <v>0.38888477908565733</v>
      </c>
      <c r="C8" s="2" t="s">
        <v>199</v>
      </c>
      <c r="D8" s="2" t="s">
        <v>81</v>
      </c>
      <c r="E8" s="2" t="s">
        <v>320</v>
      </c>
    </row>
    <row r="9" spans="1:5">
      <c r="A9" s="4" t="s">
        <v>321</v>
      </c>
      <c r="B9" s="11">
        <f>Datos_base!B13</f>
        <v>0.5</v>
      </c>
      <c r="C9" s="2" t="s">
        <v>67</v>
      </c>
      <c r="D9" s="2" t="s">
        <v>313</v>
      </c>
      <c r="E9" s="2" t="s">
        <v>322</v>
      </c>
    </row>
    <row r="10" spans="1:5">
      <c r="A10" s="4" t="s">
        <v>323</v>
      </c>
      <c r="B10" s="11">
        <f>Datos_base!B9</f>
        <v>15</v>
      </c>
      <c r="C10" s="2" t="s">
        <v>55</v>
      </c>
      <c r="D10" s="2" t="s">
        <v>313</v>
      </c>
      <c r="E10" s="2" t="s">
        <v>324</v>
      </c>
    </row>
    <row r="11" spans="1:5">
      <c r="A11" s="4" t="s">
        <v>325</v>
      </c>
      <c r="B11" s="11">
        <f>Datos_base!B23</f>
        <v>40</v>
      </c>
      <c r="C11" s="2" t="s">
        <v>55</v>
      </c>
      <c r="D11" s="2" t="s">
        <v>313</v>
      </c>
      <c r="E11" s="2" t="s">
        <v>326</v>
      </c>
    </row>
    <row r="12" spans="1:5">
      <c r="A12" s="4" t="s">
        <v>327</v>
      </c>
      <c r="B12" s="11">
        <f>IF(OR(B5="",B6="",B7="",B8="",Propiedades!$B$12="",Tuberias!$B$38&lt;&gt;"SUCCIÓN OK"),"",Datos_base!$B$7+B5*100-B6-B7-B8+Propiedades!$B$12*Datos_base!$B$6*B9/1000)</f>
        <v>228.4780883187895</v>
      </c>
      <c r="C12" s="2" t="s">
        <v>47</v>
      </c>
      <c r="D12" s="2" t="s">
        <v>81</v>
      </c>
      <c r="E12" s="2" t="s">
        <v>328</v>
      </c>
    </row>
    <row r="13" spans="1:5">
      <c r="A13" s="4" t="s">
        <v>329</v>
      </c>
      <c r="B13" s="11">
        <f>IF(Tuberias!$B$38&lt;&gt;"SUCCIÓN OK","",Tuberias!$O$10)</f>
        <v>0.40932375376977476</v>
      </c>
      <c r="C13" s="2" t="s">
        <v>330</v>
      </c>
      <c r="D13" s="2" t="s">
        <v>81</v>
      </c>
      <c r="E13" s="2" t="s">
        <v>331</v>
      </c>
    </row>
    <row r="14" spans="1:5">
      <c r="A14" s="4" t="s">
        <v>332</v>
      </c>
      <c r="B14" s="11">
        <f>IF(OR(B12="",B13="",Propiedades!$B$14="",Propiedades!$B$12=""),"",((B12-Propiedades!$B$14)*1000/(Propiedades!$B$12*Datos_base!$B$6))+(B13^2/(2*Datos_base!$B$6)))</f>
        <v>22.724883510817421</v>
      </c>
      <c r="C14" s="2" t="s">
        <v>67</v>
      </c>
      <c r="D14" s="2" t="s">
        <v>81</v>
      </c>
      <c r="E14" s="2" t="s">
        <v>333</v>
      </c>
    </row>
    <row r="15" spans="1:5">
      <c r="A15" s="4" t="s">
        <v>334</v>
      </c>
      <c r="B15" s="11">
        <f>IF(Bomba!B13="","",Bomba!B13)</f>
        <v>3</v>
      </c>
      <c r="C15" s="2" t="s">
        <v>67</v>
      </c>
      <c r="D15" s="2" t="s">
        <v>313</v>
      </c>
      <c r="E15" s="2" t="s">
        <v>335</v>
      </c>
    </row>
    <row r="16" spans="1:5">
      <c r="A16" s="4" t="s">
        <v>336</v>
      </c>
      <c r="B16" s="11">
        <f>IF(OR(B14="",B15=""),"",B14-B15)</f>
        <v>19.724883510817421</v>
      </c>
      <c r="C16" s="2" t="s">
        <v>67</v>
      </c>
      <c r="D16" s="2" t="s">
        <v>81</v>
      </c>
      <c r="E16" s="2" t="s">
        <v>337</v>
      </c>
    </row>
    <row r="17" spans="1:5">
      <c r="A17" s="4" t="s">
        <v>338</v>
      </c>
      <c r="B17" s="11">
        <f>IF(Datos_base!B15="","",Datos_base!B15)</f>
        <v>3</v>
      </c>
      <c r="C17" s="2" t="s">
        <v>67</v>
      </c>
      <c r="D17" s="2" t="s">
        <v>313</v>
      </c>
      <c r="E17" s="2" t="s">
        <v>339</v>
      </c>
    </row>
    <row r="18" spans="1:5">
      <c r="A18" s="4" t="s">
        <v>340</v>
      </c>
      <c r="B18" s="11">
        <f>IF(OR(B14="",B15="",B17=""),"",B14-B15-B17)</f>
        <v>16.724883510817421</v>
      </c>
      <c r="C18" s="2" t="s">
        <v>67</v>
      </c>
      <c r="D18" s="2" t="s">
        <v>81</v>
      </c>
      <c r="E18" s="2" t="s">
        <v>341</v>
      </c>
    </row>
    <row r="19" spans="1:5" ht="27.6">
      <c r="A19" s="4" t="s">
        <v>342</v>
      </c>
      <c r="B19" s="16" t="str">
        <f>IF(B14="","PENDIENTE: completar presión, pérdidas y geometría de succión",IF(B15="","PENDIENTE: NPSHr fabricante",IF(B17="","PENDIENTE: definir reserva de diseño",IF(B18&gt;0,"CUMPLE CRITERIO PRELIMINAR","NO CUMPLE / REVISAR DISEÑO"))))</f>
        <v>CUMPLE CRITERIO PRELIMINAR</v>
      </c>
      <c r="C19" s="12" t="s">
        <v>39</v>
      </c>
      <c r="D19" s="12" t="s">
        <v>81</v>
      </c>
      <c r="E19" s="12" t="s">
        <v>343</v>
      </c>
    </row>
    <row r="20" spans="1:5">
      <c r="A20" s="4" t="s">
        <v>344</v>
      </c>
      <c r="B20" s="11">
        <f>IF(OR(Datos_base!B20="",Propiedades!B7=""),"",Datos_base!B20/60000*Propiedades!B7)</f>
        <v>0.11656499734696568</v>
      </c>
      <c r="C20" s="2" t="s">
        <v>345</v>
      </c>
      <c r="D20" s="2" t="s">
        <v>81</v>
      </c>
      <c r="E20" s="2" t="s">
        <v>346</v>
      </c>
    </row>
    <row r="21" spans="1:5">
      <c r="A21" s="4" t="s">
        <v>347</v>
      </c>
      <c r="B21" s="11">
        <f>IF(OR(B20="",Datos_base!B12="",Datos_base!B9=""),"",MAX(0,B20*Datos_base!B11*(Datos_base!B12-Datos_base!B9)))</f>
        <v>12181.042222757915</v>
      </c>
      <c r="C21" s="2" t="s">
        <v>157</v>
      </c>
      <c r="D21" s="2" t="s">
        <v>81</v>
      </c>
      <c r="E21" s="2" t="s">
        <v>348</v>
      </c>
    </row>
    <row r="22" spans="1:5">
      <c r="A22" s="4" t="s">
        <v>73</v>
      </c>
      <c r="B22" s="11">
        <f>IF(Datos_base!B16="","",Datos_base!B16)</f>
        <v>12</v>
      </c>
      <c r="C22" s="2" t="s">
        <v>74</v>
      </c>
      <c r="D22" s="2" t="s">
        <v>313</v>
      </c>
      <c r="E22" s="2" t="s">
        <v>349</v>
      </c>
    </row>
    <row r="23" spans="1:5">
      <c r="A23" s="4" t="s">
        <v>350</v>
      </c>
      <c r="B23" s="11">
        <f>IF(OR(B21="",B22=""),"",B22-B21/1000)</f>
        <v>-0.18104222275791493</v>
      </c>
      <c r="C23" s="2" t="s">
        <v>74</v>
      </c>
      <c r="D23" s="2" t="s">
        <v>81</v>
      </c>
      <c r="E23" s="2" t="s">
        <v>351</v>
      </c>
    </row>
  </sheetData>
  <mergeCells count="2">
    <mergeCell ref="A1:E1"/>
    <mergeCell ref="A2:E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1"/>
  <sheetViews>
    <sheetView workbookViewId="0">
      <pane ySplit="4" topLeftCell="A5" activePane="bottomLeft" state="frozen"/>
      <selection pane="bottomLeft" activeCell="B7" sqref="B7"/>
    </sheetView>
  </sheetViews>
  <sheetFormatPr baseColWidth="10" defaultColWidth="8.796875" defaultRowHeight="13.8"/>
  <cols>
    <col min="1" max="1" width="43" customWidth="1"/>
    <col min="2" max="2" width="53" customWidth="1"/>
    <col min="3" max="3" width="16" customWidth="1"/>
    <col min="4" max="4" width="23" customWidth="1"/>
    <col min="5" max="5" width="82" customWidth="1"/>
  </cols>
  <sheetData>
    <row r="1" spans="1:5" ht="30" customHeight="1">
      <c r="A1" s="23" t="s">
        <v>352</v>
      </c>
      <c r="B1" s="23"/>
      <c r="C1" s="23"/>
      <c r="D1" s="23"/>
      <c r="E1" s="23"/>
    </row>
    <row r="2" spans="1:5" ht="31.95" customHeight="1">
      <c r="A2" s="24" t="s">
        <v>353</v>
      </c>
      <c r="B2" s="24"/>
      <c r="C2" s="24"/>
      <c r="D2" s="24"/>
      <c r="E2" s="24"/>
    </row>
    <row r="4" spans="1:5" ht="30" customHeight="1">
      <c r="A4" s="1" t="s">
        <v>312</v>
      </c>
      <c r="B4" s="1" t="s">
        <v>33</v>
      </c>
      <c r="C4" s="1" t="s">
        <v>34</v>
      </c>
      <c r="D4" s="1" t="s">
        <v>35</v>
      </c>
      <c r="E4" s="1" t="s">
        <v>122</v>
      </c>
    </row>
    <row r="5" spans="1:5">
      <c r="A5" s="4" t="s">
        <v>354</v>
      </c>
      <c r="B5" s="2" t="s">
        <v>355</v>
      </c>
      <c r="C5" s="2" t="s">
        <v>39</v>
      </c>
      <c r="D5" s="2" t="s">
        <v>356</v>
      </c>
      <c r="E5" s="2" t="s">
        <v>357</v>
      </c>
    </row>
    <row r="6" spans="1:5">
      <c r="A6" s="4" t="s">
        <v>358</v>
      </c>
      <c r="B6" s="7">
        <f>Tuberias!G12</f>
        <v>8</v>
      </c>
      <c r="C6" s="2" t="s">
        <v>67</v>
      </c>
      <c r="D6" s="2" t="s">
        <v>313</v>
      </c>
      <c r="E6" s="2" t="s">
        <v>359</v>
      </c>
    </row>
    <row r="7" spans="1:5">
      <c r="A7" s="4" t="s">
        <v>360</v>
      </c>
      <c r="B7" s="7">
        <f>Tuberias!H12</f>
        <v>19.049999999999997</v>
      </c>
      <c r="C7" s="2" t="s">
        <v>361</v>
      </c>
      <c r="D7" s="2" t="s">
        <v>313</v>
      </c>
      <c r="E7" s="2" t="s">
        <v>362</v>
      </c>
    </row>
    <row r="8" spans="1:5">
      <c r="A8" s="4" t="s">
        <v>363</v>
      </c>
      <c r="B8" s="6">
        <v>0</v>
      </c>
      <c r="C8" s="2" t="s">
        <v>39</v>
      </c>
      <c r="D8" s="2" t="s">
        <v>52</v>
      </c>
      <c r="E8" s="2" t="s">
        <v>364</v>
      </c>
    </row>
    <row r="9" spans="1:5">
      <c r="A9" s="4" t="s">
        <v>365</v>
      </c>
      <c r="B9" s="6">
        <v>0</v>
      </c>
      <c r="C9" s="2" t="s">
        <v>199</v>
      </c>
      <c r="D9" s="2" t="s">
        <v>52</v>
      </c>
      <c r="E9" s="2" t="s">
        <v>366</v>
      </c>
    </row>
    <row r="10" spans="1:5">
      <c r="A10" s="4" t="s">
        <v>367</v>
      </c>
      <c r="B10" s="6">
        <v>150</v>
      </c>
      <c r="C10" s="2" t="s">
        <v>51</v>
      </c>
      <c r="D10" s="2" t="s">
        <v>52</v>
      </c>
      <c r="E10" s="2" t="s">
        <v>368</v>
      </c>
    </row>
    <row r="11" spans="1:5">
      <c r="A11" s="4" t="s">
        <v>369</v>
      </c>
      <c r="B11" s="6">
        <v>50</v>
      </c>
      <c r="C11" s="2" t="s">
        <v>55</v>
      </c>
      <c r="D11" s="2" t="s">
        <v>52</v>
      </c>
      <c r="E11" s="2" t="s">
        <v>370</v>
      </c>
    </row>
  </sheetData>
  <mergeCells count="2">
    <mergeCell ref="A1:E1"/>
    <mergeCell ref="A2:E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1"/>
  <sheetViews>
    <sheetView workbookViewId="0">
      <pane ySplit="4" topLeftCell="A5" activePane="bottomLeft" state="frozen"/>
      <selection pane="bottomLeft" activeCell="D20" sqref="D20"/>
    </sheetView>
  </sheetViews>
  <sheetFormatPr baseColWidth="10" defaultColWidth="8.796875" defaultRowHeight="13.8"/>
  <cols>
    <col min="1" max="1" width="43" customWidth="1"/>
    <col min="2" max="2" width="38" customWidth="1"/>
    <col min="3" max="3" width="16" customWidth="1"/>
    <col min="4" max="4" width="24" customWidth="1"/>
    <col min="5" max="5" width="81" customWidth="1"/>
  </cols>
  <sheetData>
    <row r="1" spans="1:5" ht="30" customHeight="1">
      <c r="A1" s="23" t="s">
        <v>371</v>
      </c>
      <c r="B1" s="23"/>
      <c r="C1" s="23"/>
      <c r="D1" s="23"/>
      <c r="E1" s="23"/>
    </row>
    <row r="2" spans="1:5" ht="31.95" customHeight="1">
      <c r="A2" s="24" t="s">
        <v>372</v>
      </c>
      <c r="B2" s="24"/>
      <c r="C2" s="24"/>
      <c r="D2" s="24"/>
      <c r="E2" s="24"/>
    </row>
    <row r="4" spans="1:5" ht="30" customHeight="1">
      <c r="A4" s="1" t="s">
        <v>312</v>
      </c>
      <c r="B4" s="1" t="s">
        <v>33</v>
      </c>
      <c r="C4" s="1" t="s">
        <v>34</v>
      </c>
      <c r="D4" s="1" t="s">
        <v>35</v>
      </c>
      <c r="E4" s="1" t="s">
        <v>122</v>
      </c>
    </row>
    <row r="5" spans="1:5">
      <c r="A5" s="4" t="s">
        <v>373</v>
      </c>
      <c r="B5" s="6" t="s">
        <v>374</v>
      </c>
      <c r="C5" s="2" t="s">
        <v>39</v>
      </c>
      <c r="D5" s="2" t="s">
        <v>40</v>
      </c>
      <c r="E5" s="2" t="s">
        <v>375</v>
      </c>
    </row>
    <row r="6" spans="1:5">
      <c r="A6" s="4" t="s">
        <v>376</v>
      </c>
      <c r="B6" s="7">
        <f>Datos_base!B22</f>
        <v>7</v>
      </c>
      <c r="C6" s="2" t="s">
        <v>58</v>
      </c>
      <c r="D6" s="2" t="s">
        <v>313</v>
      </c>
      <c r="E6" s="2" t="s">
        <v>377</v>
      </c>
    </row>
    <row r="7" spans="1:5">
      <c r="A7" s="4" t="s">
        <v>378</v>
      </c>
      <c r="B7" s="7">
        <f>Propiedades!B12</f>
        <v>992.24731862898273</v>
      </c>
      <c r="C7" s="2" t="s">
        <v>80</v>
      </c>
      <c r="D7" s="2" t="s">
        <v>313</v>
      </c>
      <c r="E7" s="2" t="s">
        <v>379</v>
      </c>
    </row>
    <row r="8" spans="1:5">
      <c r="A8" s="4" t="s">
        <v>380</v>
      </c>
      <c r="B8" s="31">
        <v>0.8</v>
      </c>
      <c r="C8" s="2" t="s">
        <v>39</v>
      </c>
      <c r="D8" s="2" t="s">
        <v>381</v>
      </c>
      <c r="E8" s="2" t="s">
        <v>612</v>
      </c>
    </row>
    <row r="9" spans="1:5">
      <c r="A9" s="4" t="s">
        <v>382</v>
      </c>
      <c r="B9" s="6">
        <v>1.1499999999999999</v>
      </c>
      <c r="C9" s="2" t="s">
        <v>361</v>
      </c>
      <c r="D9" s="2" t="s">
        <v>52</v>
      </c>
      <c r="E9" s="2" t="s">
        <v>613</v>
      </c>
    </row>
    <row r="10" spans="1:5">
      <c r="A10" s="4" t="s">
        <v>383</v>
      </c>
      <c r="B10" s="7">
        <f>IF(OR(B9="",B9&lt;=0),"",PI()*(B9/1000)^2/4)</f>
        <v>1.0386890710931253E-6</v>
      </c>
      <c r="C10" s="2" t="s">
        <v>384</v>
      </c>
      <c r="D10" s="2" t="s">
        <v>81</v>
      </c>
      <c r="E10" s="2" t="s">
        <v>385</v>
      </c>
    </row>
    <row r="11" spans="1:5">
      <c r="A11" s="4" t="s">
        <v>386</v>
      </c>
      <c r="B11" s="7">
        <f>IF(OR(B6="",B10="",B10=0),"",B6/60000/B10)</f>
        <v>112.32106884872262</v>
      </c>
      <c r="C11" s="2" t="s">
        <v>330</v>
      </c>
      <c r="D11" s="2" t="s">
        <v>81</v>
      </c>
      <c r="E11" s="2" t="s">
        <v>387</v>
      </c>
    </row>
    <row r="12" spans="1:5">
      <c r="A12" s="4" t="s">
        <v>388</v>
      </c>
      <c r="B12" s="7">
        <f>IF(OR(B6="",B7="",B8="",B10="",B10=0),"",((B7/2)*(B6/60000/(B8*B10))^2)/100000)</f>
        <v>97.798550817583219</v>
      </c>
      <c r="C12" s="2" t="s">
        <v>51</v>
      </c>
      <c r="D12" s="2" t="s">
        <v>81</v>
      </c>
      <c r="E12" s="2" t="s">
        <v>389</v>
      </c>
    </row>
    <row r="13" spans="1:5">
      <c r="A13" s="4" t="s">
        <v>390</v>
      </c>
      <c r="B13" s="6">
        <v>0</v>
      </c>
      <c r="C13" s="2" t="s">
        <v>51</v>
      </c>
      <c r="D13" s="2" t="s">
        <v>52</v>
      </c>
      <c r="E13" s="2" t="s">
        <v>391</v>
      </c>
    </row>
    <row r="14" spans="1:5">
      <c r="A14" s="4" t="s">
        <v>392</v>
      </c>
      <c r="B14" s="7">
        <f>IF(B5="Orificio (Cd)",B12,IF(B5="Curva fabricante",B13,""))</f>
        <v>97.798550817583219</v>
      </c>
      <c r="C14" s="2" t="s">
        <v>51</v>
      </c>
      <c r="D14" s="2" t="s">
        <v>81</v>
      </c>
      <c r="E14" s="2" t="s">
        <v>393</v>
      </c>
    </row>
    <row r="15" spans="1:5">
      <c r="A15" s="4" t="s">
        <v>394</v>
      </c>
      <c r="B15" s="6">
        <v>0</v>
      </c>
      <c r="C15" s="2" t="s">
        <v>51</v>
      </c>
      <c r="D15" s="2" t="s">
        <v>52</v>
      </c>
      <c r="E15" s="2" t="s">
        <v>395</v>
      </c>
    </row>
    <row r="16" spans="1:5">
      <c r="A16" s="4" t="s">
        <v>396</v>
      </c>
      <c r="B16" s="6">
        <v>7</v>
      </c>
      <c r="C16" s="2" t="s">
        <v>58</v>
      </c>
      <c r="D16" s="2" t="s">
        <v>52</v>
      </c>
      <c r="E16" s="2" t="s">
        <v>397</v>
      </c>
    </row>
    <row r="20" spans="4:4">
      <c r="D20" s="32"/>
    </row>
    <row r="21" spans="4:4">
      <c r="D21" s="32"/>
    </row>
  </sheetData>
  <mergeCells count="2">
    <mergeCell ref="A1:E1"/>
    <mergeCell ref="A2:E2"/>
  </mergeCells>
  <dataValidations count="1">
    <dataValidation type="list" sqref="B5" xr:uid="{00000000-0002-0000-0900-000000000000}">
      <formula1>"Orificio (Cd),Curva fabricante"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8"/>
  <sheetViews>
    <sheetView workbookViewId="0">
      <pane ySplit="4" topLeftCell="A16" activePane="bottomLeft" state="frozen"/>
      <selection pane="bottomLeft" activeCell="B5" sqref="B5"/>
    </sheetView>
  </sheetViews>
  <sheetFormatPr baseColWidth="10" defaultColWidth="8.796875" defaultRowHeight="13.8"/>
  <cols>
    <col min="1" max="1" width="44" customWidth="1"/>
    <col min="2" max="2" width="35" customWidth="1"/>
    <col min="3" max="3" width="16" customWidth="1"/>
    <col min="4" max="4" width="48" customWidth="1"/>
    <col min="5" max="5" width="72" customWidth="1"/>
  </cols>
  <sheetData>
    <row r="1" spans="1:5" ht="30" customHeight="1">
      <c r="A1" s="23" t="s">
        <v>398</v>
      </c>
      <c r="B1" s="23"/>
      <c r="C1" s="23"/>
      <c r="D1" s="23"/>
      <c r="E1" s="23"/>
    </row>
    <row r="2" spans="1:5" ht="31.95" customHeight="1">
      <c r="A2" s="24" t="s">
        <v>399</v>
      </c>
      <c r="B2" s="24"/>
      <c r="C2" s="24"/>
      <c r="D2" s="24"/>
      <c r="E2" s="24"/>
    </row>
    <row r="4" spans="1:5" ht="30" customHeight="1">
      <c r="A4" s="1" t="s">
        <v>400</v>
      </c>
      <c r="B4" s="1" t="s">
        <v>401</v>
      </c>
      <c r="C4" s="1" t="s">
        <v>34</v>
      </c>
      <c r="D4" s="1" t="s">
        <v>402</v>
      </c>
      <c r="E4" s="1" t="s">
        <v>403</v>
      </c>
    </row>
    <row r="5" spans="1:5">
      <c r="A5" s="4" t="s">
        <v>10</v>
      </c>
      <c r="B5" s="7" t="str">
        <f>Datos_base!B5</f>
        <v>Enjuague</v>
      </c>
      <c r="C5" s="2" t="s">
        <v>39</v>
      </c>
      <c r="D5" s="2" t="s">
        <v>404</v>
      </c>
      <c r="E5" s="2" t="s">
        <v>405</v>
      </c>
    </row>
    <row r="6" spans="1:5">
      <c r="A6" s="4" t="s">
        <v>406</v>
      </c>
      <c r="B6" s="7">
        <f>Datos_base!B20</f>
        <v>7</v>
      </c>
      <c r="C6" s="2" t="s">
        <v>58</v>
      </c>
      <c r="D6" s="2" t="s">
        <v>407</v>
      </c>
      <c r="E6" s="2" t="s">
        <v>408</v>
      </c>
    </row>
    <row r="7" spans="1:5">
      <c r="A7" s="4" t="s">
        <v>202</v>
      </c>
      <c r="B7" s="7">
        <f>Datos_base!B21</f>
        <v>0</v>
      </c>
      <c r="C7" s="2" t="s">
        <v>58</v>
      </c>
      <c r="D7" s="2" t="s">
        <v>409</v>
      </c>
      <c r="E7" s="2" t="s">
        <v>410</v>
      </c>
    </row>
    <row r="8" spans="1:5">
      <c r="A8" s="4" t="s">
        <v>411</v>
      </c>
      <c r="B8" s="7">
        <f>Datos_base!B22</f>
        <v>7</v>
      </c>
      <c r="C8" s="2" t="s">
        <v>58</v>
      </c>
      <c r="D8" s="2" t="s">
        <v>412</v>
      </c>
      <c r="E8" s="2" t="s">
        <v>413</v>
      </c>
    </row>
    <row r="9" spans="1:5">
      <c r="A9" s="4" t="s">
        <v>323</v>
      </c>
      <c r="B9" s="7">
        <f>Datos_base!B9</f>
        <v>15</v>
      </c>
      <c r="C9" s="2" t="s">
        <v>55</v>
      </c>
      <c r="D9" s="2" t="s">
        <v>414</v>
      </c>
      <c r="E9" s="2" t="s">
        <v>415</v>
      </c>
    </row>
    <row r="10" spans="1:5">
      <c r="A10" s="4" t="s">
        <v>416</v>
      </c>
      <c r="B10" s="7">
        <f>IF(Datos_base!B12="","",Datos_base!B12)</f>
        <v>40</v>
      </c>
      <c r="C10" s="2" t="s">
        <v>55</v>
      </c>
      <c r="D10" s="2" t="s">
        <v>417</v>
      </c>
      <c r="E10" s="2" t="s">
        <v>418</v>
      </c>
    </row>
    <row r="11" spans="1:5">
      <c r="A11" s="4" t="s">
        <v>419</v>
      </c>
      <c r="B11" s="17">
        <f>IF(Alimentacion!B21="","",Alimentacion!B21/1000)</f>
        <v>12.181042222757915</v>
      </c>
      <c r="C11" s="2" t="s">
        <v>74</v>
      </c>
      <c r="D11" s="2" t="s">
        <v>420</v>
      </c>
      <c r="E11" s="2" t="s">
        <v>421</v>
      </c>
    </row>
    <row r="12" spans="1:5">
      <c r="A12" s="4" t="s">
        <v>422</v>
      </c>
      <c r="B12" s="17">
        <f>IF(Boquilla!B14="","",Boquilla!B14)</f>
        <v>97.798550817583219</v>
      </c>
      <c r="C12" s="2" t="s">
        <v>51</v>
      </c>
      <c r="D12" s="2" t="s">
        <v>423</v>
      </c>
      <c r="E12" s="2" t="s">
        <v>424</v>
      </c>
    </row>
    <row r="13" spans="1:5">
      <c r="A13" s="4" t="s">
        <v>425</v>
      </c>
      <c r="B13" s="17">
        <f>IF(Tuberias!$B$40&lt;&gt;"RECORRIDO DE PRESIÓN OK","",Tuberias!$B$32)</f>
        <v>0</v>
      </c>
      <c r="C13" s="2" t="s">
        <v>199</v>
      </c>
      <c r="D13" s="2" t="s">
        <v>426</v>
      </c>
      <c r="E13" s="2" t="s">
        <v>427</v>
      </c>
    </row>
    <row r="14" spans="1:5">
      <c r="A14" s="4" t="s">
        <v>428</v>
      </c>
      <c r="B14" s="17">
        <f>IF(Venturi!B10="","",Venturi!B10)</f>
        <v>180</v>
      </c>
      <c r="C14" s="2" t="s">
        <v>199</v>
      </c>
      <c r="D14" s="2" t="s">
        <v>429</v>
      </c>
      <c r="E14" s="2" t="s">
        <v>430</v>
      </c>
    </row>
    <row r="15" spans="1:5">
      <c r="A15" s="4" t="s">
        <v>431</v>
      </c>
      <c r="B15" s="17">
        <f>IF(Tuberias!$B$40&lt;&gt;"RECORRIDO DE PRESIÓN OK","",Tuberias!$B$33)</f>
        <v>1.0759145554703184</v>
      </c>
      <c r="C15" s="2" t="s">
        <v>199</v>
      </c>
      <c r="D15" s="2" t="s">
        <v>432</v>
      </c>
      <c r="E15" s="2" t="s">
        <v>433</v>
      </c>
    </row>
    <row r="16" spans="1:5">
      <c r="A16" s="4" t="s">
        <v>365</v>
      </c>
      <c r="B16" s="17">
        <f>IF(Manguera_Pistola!B8="","",Manguera_Pistola!B8)</f>
        <v>0</v>
      </c>
      <c r="C16" s="2" t="s">
        <v>199</v>
      </c>
      <c r="D16" s="2" t="s">
        <v>429</v>
      </c>
      <c r="E16" s="2" t="s">
        <v>430</v>
      </c>
    </row>
    <row r="17" spans="1:5">
      <c r="A17" s="4" t="s">
        <v>434</v>
      </c>
      <c r="B17" s="17">
        <f>IF(OR(Boquilla!$B$14="",Venturi!$B$10="",Manguera_Pistola!$B$8="",Tuberias!$B$36&lt;&gt;"GEOMETRÍA DECLARADA PARA TRAMOS ACTIVOS",Datos_base!$B$5="Pistola cerrada"),"",Boquilla!$B$14+(Tuberias!$B$32+Tuberias!$B$33+Venturi!$B$10+Manguera_Pistola!$B$8)/100)</f>
        <v>99.609309963137918</v>
      </c>
      <c r="C17" s="2" t="s">
        <v>51</v>
      </c>
      <c r="D17" s="2" t="s">
        <v>435</v>
      </c>
      <c r="E17" s="2" t="s">
        <v>436</v>
      </c>
    </row>
    <row r="18" spans="1:5">
      <c r="A18" s="4" t="s">
        <v>437</v>
      </c>
      <c r="B18" s="17">
        <f>IF(B17="","",B17*(1+Datos_base!$B$14))</f>
        <v>119.5311719557655</v>
      </c>
      <c r="C18" s="2" t="s">
        <v>51</v>
      </c>
      <c r="D18" s="2" t="s">
        <v>438</v>
      </c>
      <c r="E18" s="2" t="s">
        <v>439</v>
      </c>
    </row>
    <row r="19" spans="1:5">
      <c r="A19" s="4" t="s">
        <v>440</v>
      </c>
      <c r="B19" s="17">
        <f>Bomba!B7</f>
        <v>80</v>
      </c>
      <c r="C19" s="2" t="s">
        <v>51</v>
      </c>
      <c r="D19" s="2" t="s">
        <v>441</v>
      </c>
      <c r="E19" s="2" t="s">
        <v>442</v>
      </c>
    </row>
    <row r="20" spans="1:5">
      <c r="A20" s="4" t="s">
        <v>443</v>
      </c>
      <c r="B20" s="17">
        <f>Bomba!B8</f>
        <v>130</v>
      </c>
      <c r="C20" s="2" t="s">
        <v>51</v>
      </c>
      <c r="D20" s="2" t="s">
        <v>444</v>
      </c>
      <c r="E20" s="2" t="s">
        <v>445</v>
      </c>
    </row>
    <row r="21" spans="1:5">
      <c r="A21" s="4" t="s">
        <v>446</v>
      </c>
      <c r="B21" s="17">
        <f>IF(OR(B18="",B19=""),"",B19-B18)</f>
        <v>-39.531171955765501</v>
      </c>
      <c r="C21" s="2" t="s">
        <v>447</v>
      </c>
      <c r="D21" s="2" t="s">
        <v>448</v>
      </c>
      <c r="E21" s="2" t="s">
        <v>449</v>
      </c>
    </row>
    <row r="22" spans="1:5" ht="27.6">
      <c r="A22" s="4" t="s">
        <v>450</v>
      </c>
      <c r="B22" s="18" t="str">
        <f>IF(B18="","PENDIENTE: datos de tramos activos, Venturi, pistola y boquilla",IF(B18&gt;B20,"NO CUMPLE: supera presión máxima reportada",IF(B18&gt;B19,"SUPERIOR A PRESIÓN NOMINAL; revisar selección","Dentro de presión nominal publicada; validar curva Q–P")))</f>
        <v>SUPERIOR A PRESIÓN NOMINAL; revisar selección</v>
      </c>
      <c r="C22" s="12" t="s">
        <v>39</v>
      </c>
      <c r="D22" s="12" t="s">
        <v>451</v>
      </c>
      <c r="E22" s="12" t="s">
        <v>452</v>
      </c>
    </row>
    <row r="23" spans="1:5">
      <c r="A23" s="4" t="s">
        <v>453</v>
      </c>
      <c r="B23" s="17">
        <f>Alimentacion!B12</f>
        <v>228.4780883187895</v>
      </c>
      <c r="C23" s="2" t="s">
        <v>47</v>
      </c>
      <c r="D23" s="2" t="s">
        <v>454</v>
      </c>
      <c r="E23" s="2" t="s">
        <v>455</v>
      </c>
    </row>
    <row r="24" spans="1:5">
      <c r="A24" s="4" t="s">
        <v>332</v>
      </c>
      <c r="B24" s="17">
        <f>Alimentacion!B14</f>
        <v>22.724883510817421</v>
      </c>
      <c r="C24" s="2" t="s">
        <v>67</v>
      </c>
      <c r="D24" s="2" t="s">
        <v>456</v>
      </c>
      <c r="E24" s="2" t="s">
        <v>457</v>
      </c>
    </row>
    <row r="25" spans="1:5">
      <c r="A25" s="4" t="s">
        <v>173</v>
      </c>
      <c r="B25" s="17">
        <f>IF(Alimentacion!B15="","",Alimentacion!B15)</f>
        <v>3</v>
      </c>
      <c r="C25" s="2" t="s">
        <v>67</v>
      </c>
      <c r="D25" s="2" t="s">
        <v>458</v>
      </c>
      <c r="E25" s="2" t="s">
        <v>459</v>
      </c>
    </row>
    <row r="26" spans="1:5">
      <c r="A26" s="4" t="s">
        <v>460</v>
      </c>
      <c r="B26" s="17">
        <f>Alimentacion!B18</f>
        <v>16.724883510817421</v>
      </c>
      <c r="C26" s="2" t="s">
        <v>67</v>
      </c>
      <c r="D26" s="2" t="s">
        <v>461</v>
      </c>
      <c r="E26" s="2" t="s">
        <v>462</v>
      </c>
    </row>
    <row r="27" spans="1:5" ht="27.6">
      <c r="A27" s="4" t="s">
        <v>463</v>
      </c>
      <c r="B27" s="17" t="str">
        <f>Alimentacion!B19</f>
        <v>CUMPLE CRITERIO PRELIMINAR</v>
      </c>
      <c r="C27" s="2" t="s">
        <v>39</v>
      </c>
      <c r="D27" s="2" t="s">
        <v>464</v>
      </c>
      <c r="E27" s="2" t="s">
        <v>465</v>
      </c>
    </row>
    <row r="28" spans="1:5" ht="27.6">
      <c r="A28" s="4" t="s">
        <v>466</v>
      </c>
      <c r="B28" s="17" t="str">
        <f>Tuberias!B36</f>
        <v>GEOMETRÍA DECLARADA PARA TRAMOS ACTIVOS</v>
      </c>
      <c r="C28" s="2" t="s">
        <v>39</v>
      </c>
      <c r="D28" s="2" t="s">
        <v>467</v>
      </c>
      <c r="E28" s="2" t="s">
        <v>468</v>
      </c>
    </row>
  </sheetData>
  <mergeCells count="2">
    <mergeCell ref="A1:E1"/>
    <mergeCell ref="A2:E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5"/>
  <sheetViews>
    <sheetView workbookViewId="0">
      <pane ySplit="4" topLeftCell="A5" activePane="bottomLeft" state="frozen"/>
      <selection pane="bottomLeft" sqref="A1:L1"/>
    </sheetView>
  </sheetViews>
  <sheetFormatPr baseColWidth="10" defaultColWidth="8.796875" defaultRowHeight="13.8"/>
  <cols>
    <col min="1" max="1" width="9" customWidth="1"/>
    <col min="2" max="2" width="40" customWidth="1"/>
    <col min="3" max="3" width="23" customWidth="1"/>
    <col min="4" max="4" width="21" customWidth="1"/>
    <col min="5" max="5" width="20" customWidth="1"/>
    <col min="6" max="6" width="13" customWidth="1"/>
    <col min="7" max="7" width="15" customWidth="1"/>
    <col min="8" max="8" width="17" customWidth="1"/>
    <col min="9" max="9" width="24" customWidth="1"/>
    <col min="10" max="10" width="14" customWidth="1"/>
    <col min="11" max="11" width="16" customWidth="1"/>
    <col min="12" max="12" width="66" customWidth="1"/>
  </cols>
  <sheetData>
    <row r="1" spans="1:12" ht="30" customHeight="1">
      <c r="A1" s="23" t="s">
        <v>469</v>
      </c>
      <c r="B1" s="23"/>
      <c r="C1" s="23"/>
      <c r="D1" s="23"/>
      <c r="E1" s="23"/>
      <c r="F1" s="23"/>
      <c r="G1" s="23"/>
      <c r="H1" s="23"/>
      <c r="I1" s="23"/>
      <c r="J1" s="23"/>
      <c r="K1" s="23"/>
      <c r="L1" s="23"/>
    </row>
    <row r="2" spans="1:12" ht="31.95" customHeight="1">
      <c r="A2" s="24" t="s">
        <v>470</v>
      </c>
      <c r="B2" s="24"/>
      <c r="C2" s="24"/>
      <c r="D2" s="24"/>
      <c r="E2" s="24"/>
      <c r="F2" s="24"/>
      <c r="G2" s="24"/>
      <c r="H2" s="24"/>
      <c r="I2" s="24"/>
      <c r="J2" s="24"/>
      <c r="K2" s="24"/>
      <c r="L2" s="24"/>
    </row>
    <row r="4" spans="1:12" ht="30" customHeight="1">
      <c r="A4" s="1" t="s">
        <v>223</v>
      </c>
      <c r="B4" s="1" t="s">
        <v>471</v>
      </c>
      <c r="C4" s="1" t="s">
        <v>228</v>
      </c>
      <c r="D4" s="1" t="s">
        <v>472</v>
      </c>
      <c r="E4" s="1" t="s">
        <v>473</v>
      </c>
      <c r="F4" s="1" t="s">
        <v>474</v>
      </c>
      <c r="G4" s="1" t="s">
        <v>475</v>
      </c>
      <c r="H4" s="1" t="s">
        <v>476</v>
      </c>
      <c r="I4" s="1" t="s">
        <v>477</v>
      </c>
      <c r="J4" s="1" t="s">
        <v>478</v>
      </c>
      <c r="K4" s="1" t="s">
        <v>479</v>
      </c>
      <c r="L4" s="1" t="s">
        <v>480</v>
      </c>
    </row>
    <row r="5" spans="1:12">
      <c r="A5" s="4" t="s">
        <v>481</v>
      </c>
      <c r="B5" s="2" t="s">
        <v>482</v>
      </c>
      <c r="C5" s="2" t="s">
        <v>250</v>
      </c>
      <c r="D5" s="7">
        <f>IF(Datos_base!B8="","",Datos_base!B8)</f>
        <v>1.5</v>
      </c>
      <c r="E5" s="7">
        <f>IF(D5="","",Datos_base!B7+D5*100)</f>
        <v>224</v>
      </c>
      <c r="F5" s="7">
        <f>Datos_base!B9</f>
        <v>15</v>
      </c>
      <c r="G5" s="7">
        <f>Datos_base!B20</f>
        <v>7</v>
      </c>
      <c r="H5" s="7">
        <f>Propiedades!B7</f>
        <v>999.12854868827731</v>
      </c>
      <c r="I5" s="7" t="s">
        <v>245</v>
      </c>
      <c r="J5" s="7">
        <f>Tuberias!O8</f>
        <v>0.40932375376977476</v>
      </c>
      <c r="K5" s="2">
        <v>0</v>
      </c>
      <c r="L5" s="2" t="s">
        <v>483</v>
      </c>
    </row>
    <row r="6" spans="1:12">
      <c r="A6" s="4" t="s">
        <v>484</v>
      </c>
      <c r="B6" s="2" t="s">
        <v>485</v>
      </c>
      <c r="C6" s="2" t="s">
        <v>250</v>
      </c>
      <c r="D6" s="7">
        <f>IF(E6="","",(E6-Datos_base!B7)/100)</f>
        <v>1.498703717403048</v>
      </c>
      <c r="E6" s="7">
        <f>IF(OR(E5="",Tuberias!U8="",Alimentacion!B6=""),"",E5-Tuberias!U8-Alimentacion!B6)</f>
        <v>223.87037174030479</v>
      </c>
      <c r="F6" s="7">
        <f>Datos_base!B9</f>
        <v>15</v>
      </c>
      <c r="G6" s="7">
        <f>Datos_base!B20</f>
        <v>7</v>
      </c>
      <c r="H6" s="7">
        <f>Propiedades!B7</f>
        <v>999.12854868827731</v>
      </c>
      <c r="I6" s="7" t="s">
        <v>251</v>
      </c>
      <c r="J6" s="7">
        <f>Tuberias!O9</f>
        <v>0.40932375376977476</v>
      </c>
      <c r="K6" s="2"/>
      <c r="L6" s="2" t="s">
        <v>486</v>
      </c>
    </row>
    <row r="7" spans="1:12">
      <c r="A7" s="4" t="s">
        <v>487</v>
      </c>
      <c r="B7" s="2" t="s">
        <v>488</v>
      </c>
      <c r="C7" s="2" t="s">
        <v>250</v>
      </c>
      <c r="D7" s="7">
        <f>IF(E7="","",(E7-Datos_base!B7)/100)</f>
        <v>1.5447808831878951</v>
      </c>
      <c r="E7" s="7">
        <f>Alimentacion!B12</f>
        <v>228.4780883187895</v>
      </c>
      <c r="F7" s="7">
        <f>Datos_base!B23</f>
        <v>40</v>
      </c>
      <c r="G7" s="7">
        <f>Datos_base!B20</f>
        <v>7</v>
      </c>
      <c r="H7" s="7">
        <f>Propiedades!B12</f>
        <v>992.24731862898273</v>
      </c>
      <c r="I7" s="7" t="s">
        <v>254</v>
      </c>
      <c r="J7" s="7">
        <f>Tuberias!O10</f>
        <v>0.40932375376977476</v>
      </c>
      <c r="K7" s="2"/>
      <c r="L7" s="2" t="s">
        <v>489</v>
      </c>
    </row>
    <row r="8" spans="1:12">
      <c r="A8" s="4" t="s">
        <v>490</v>
      </c>
      <c r="B8" s="2" t="s">
        <v>491</v>
      </c>
      <c r="C8" s="2" t="s">
        <v>250</v>
      </c>
      <c r="D8" s="7">
        <f>Bomba!B7</f>
        <v>80</v>
      </c>
      <c r="E8" s="7">
        <f>IF(D8="","",Datos_base!B7+D8*100)</f>
        <v>8074</v>
      </c>
      <c r="F8" s="7">
        <f>Datos_base!B23</f>
        <v>40</v>
      </c>
      <c r="G8" s="7">
        <f>Datos_base!B20</f>
        <v>7</v>
      </c>
      <c r="H8" s="7">
        <f>Propiedades!B12</f>
        <v>992.24731862898273</v>
      </c>
      <c r="I8" s="7" t="s">
        <v>257</v>
      </c>
      <c r="J8" s="7">
        <f>Tuberias!O11</f>
        <v>0.40932375376977476</v>
      </c>
      <c r="K8" s="2"/>
      <c r="L8" s="2" t="s">
        <v>492</v>
      </c>
    </row>
    <row r="9" spans="1:12">
      <c r="A9" s="4" t="s">
        <v>493</v>
      </c>
      <c r="B9" s="2" t="s">
        <v>494</v>
      </c>
      <c r="C9" s="2" t="s">
        <v>495</v>
      </c>
      <c r="D9" s="7">
        <f>IF(Venturi!B18="","",Venturi!B18)</f>
        <v>-0.28799999999999998</v>
      </c>
      <c r="E9" s="7">
        <f>IF(D9="","",Datos_base!B7+D9*100)</f>
        <v>45.2</v>
      </c>
      <c r="F9" s="7">
        <f>Datos_base!B23</f>
        <v>40</v>
      </c>
      <c r="G9" s="7">
        <f>Datos_base!B20</f>
        <v>7</v>
      </c>
      <c r="H9" s="7">
        <f>Propiedades!B12</f>
        <v>992.24731862898273</v>
      </c>
      <c r="I9" s="7" t="s">
        <v>496</v>
      </c>
      <c r="J9" s="7"/>
      <c r="K9" s="2"/>
      <c r="L9" s="2" t="s">
        <v>497</v>
      </c>
    </row>
    <row r="10" spans="1:12">
      <c r="A10" s="4" t="s">
        <v>498</v>
      </c>
      <c r="B10" s="2" t="s">
        <v>499</v>
      </c>
      <c r="C10" s="2" t="s">
        <v>264</v>
      </c>
      <c r="D10" s="7">
        <f>Venturi!B20</f>
        <v>78.2</v>
      </c>
      <c r="E10" s="7">
        <f>IF(D10="","",Datos_base!B7+D10*100)</f>
        <v>7894</v>
      </c>
      <c r="F10" s="7">
        <f>Datos_base!B23</f>
        <v>40</v>
      </c>
      <c r="G10" s="7">
        <f>Datos_base!B22</f>
        <v>7</v>
      </c>
      <c r="H10" s="7">
        <f>Propiedades!B12</f>
        <v>992.24731862898273</v>
      </c>
      <c r="I10" s="7" t="s">
        <v>260</v>
      </c>
      <c r="J10" s="7">
        <f>Tuberias!O12</f>
        <v>0.40932375376977476</v>
      </c>
      <c r="K10" s="2"/>
      <c r="L10" s="2" t="s">
        <v>500</v>
      </c>
    </row>
    <row r="11" spans="1:12">
      <c r="A11" s="4" t="s">
        <v>501</v>
      </c>
      <c r="B11" s="2" t="s">
        <v>502</v>
      </c>
      <c r="C11" s="2" t="s">
        <v>264</v>
      </c>
      <c r="D11" s="7">
        <f>IF(OR(D10="",Tuberias!U12=""),"",D10-Tuberias!U12/100)</f>
        <v>78.189629739224387</v>
      </c>
      <c r="E11" s="7">
        <f>IF(D11="","",Datos_base!B7+D11*100)</f>
        <v>7892.9629739224383</v>
      </c>
      <c r="F11" s="7">
        <f>Datos_base!B23</f>
        <v>40</v>
      </c>
      <c r="G11" s="7">
        <f>Datos_base!B22</f>
        <v>7</v>
      </c>
      <c r="H11" s="7">
        <f>Propiedades!B12</f>
        <v>992.24731862898273</v>
      </c>
      <c r="I11" s="7" t="s">
        <v>260</v>
      </c>
      <c r="J11" s="7">
        <f>Tuberias!O12</f>
        <v>0.40932375376977476</v>
      </c>
      <c r="K11" s="2"/>
      <c r="L11" s="2" t="s">
        <v>503</v>
      </c>
    </row>
    <row r="12" spans="1:12">
      <c r="A12" s="4" t="s">
        <v>504</v>
      </c>
      <c r="B12" s="2" t="s">
        <v>505</v>
      </c>
      <c r="C12" s="2" t="s">
        <v>264</v>
      </c>
      <c r="D12" s="7">
        <f>IF(OR(Bomba!$B$7="",Venturi!$B$10="",Manguera_Pistola!$B$8="",Tuberias!$B$36&lt;&gt;"GEOMETRÍA DECLARADA PARA TRAMOS ACTIVOS",Datos_base!$B$5="Pistola cerrada"),"",Bomba!$B$7-(Tuberias!$B$32+Tuberias!$B$33+Venturi!$B$10+Manguera_Pistola!$B$8)/100)</f>
        <v>78.189240854445302</v>
      </c>
      <c r="E12" s="7">
        <f>IF(D12="","",Datos_base!B7+D12*100)</f>
        <v>7892.9240854445306</v>
      </c>
      <c r="F12" s="7">
        <f>Datos_base!B23</f>
        <v>40</v>
      </c>
      <c r="G12" s="7">
        <f>Datos_base!B22</f>
        <v>7</v>
      </c>
      <c r="H12" s="7">
        <f>Propiedades!B12</f>
        <v>992.24731862898273</v>
      </c>
      <c r="I12" s="7" t="s">
        <v>265</v>
      </c>
      <c r="J12" s="7">
        <f>Boquilla!B11</f>
        <v>112.32106884872262</v>
      </c>
      <c r="K12" s="2"/>
      <c r="L12" s="2" t="s">
        <v>506</v>
      </c>
    </row>
    <row r="13" spans="1:12">
      <c r="A13" s="4" t="s">
        <v>507</v>
      </c>
      <c r="B13" s="2" t="s">
        <v>508</v>
      </c>
      <c r="C13" s="2" t="s">
        <v>264</v>
      </c>
      <c r="D13" s="7">
        <v>0</v>
      </c>
      <c r="E13" s="7">
        <f>Datos_base!B7</f>
        <v>74</v>
      </c>
      <c r="F13" s="7">
        <f>Datos_base!B23</f>
        <v>40</v>
      </c>
      <c r="G13" s="7">
        <f>Datos_base!B22</f>
        <v>7</v>
      </c>
      <c r="H13" s="7">
        <f>Propiedades!B12</f>
        <v>992.24731862898273</v>
      </c>
      <c r="I13" s="7" t="s">
        <v>24</v>
      </c>
      <c r="J13" s="7">
        <f>Boquilla!B11</f>
        <v>112.32106884872262</v>
      </c>
      <c r="K13" s="2"/>
      <c r="L13" s="2" t="s">
        <v>509</v>
      </c>
    </row>
    <row r="14" spans="1:12">
      <c r="A14" s="2"/>
      <c r="B14" s="2"/>
      <c r="C14" s="2"/>
      <c r="D14" s="2"/>
      <c r="E14" s="2"/>
      <c r="F14" s="2"/>
      <c r="G14" s="2"/>
      <c r="H14" s="2"/>
      <c r="I14" s="2"/>
      <c r="J14" s="2"/>
      <c r="K14" s="2"/>
      <c r="L14" s="2"/>
    </row>
    <row r="15" spans="1:12" ht="42" customHeight="1">
      <c r="A15" s="27" t="s">
        <v>510</v>
      </c>
      <c r="B15" s="27"/>
      <c r="C15" s="27"/>
      <c r="D15" s="27"/>
      <c r="E15" s="27"/>
      <c r="F15" s="27"/>
      <c r="G15" s="27"/>
      <c r="H15" s="27"/>
      <c r="I15" s="27"/>
      <c r="J15" s="27"/>
      <c r="K15" s="27"/>
      <c r="L15" s="27"/>
    </row>
  </sheetData>
  <mergeCells count="3">
    <mergeCell ref="A1:L1"/>
    <mergeCell ref="A2:L2"/>
    <mergeCell ref="A15:L1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8"/>
  <sheetViews>
    <sheetView workbookViewId="0">
      <pane ySplit="4" topLeftCell="A5" activePane="bottomLeft" state="frozen"/>
      <selection pane="bottomLeft" activeCell="C10" sqref="C10"/>
    </sheetView>
  </sheetViews>
  <sheetFormatPr baseColWidth="10" defaultColWidth="8.796875" defaultRowHeight="13.8"/>
  <cols>
    <col min="1" max="1" width="10" customWidth="1"/>
    <col min="2" max="2" width="30" customWidth="1"/>
    <col min="3" max="3" width="55" customWidth="1"/>
    <col min="4" max="4" width="76" customWidth="1"/>
    <col min="5" max="5" width="22" customWidth="1"/>
    <col min="6" max="6" width="14" customWidth="1"/>
  </cols>
  <sheetData>
    <row r="1" spans="1:6" ht="30" customHeight="1">
      <c r="A1" s="23" t="s">
        <v>511</v>
      </c>
      <c r="B1" s="23"/>
      <c r="C1" s="23"/>
      <c r="D1" s="23"/>
      <c r="E1" s="23"/>
      <c r="F1" s="23"/>
    </row>
    <row r="2" spans="1:6" ht="31.95" customHeight="1">
      <c r="A2" s="24" t="s">
        <v>512</v>
      </c>
      <c r="B2" s="24"/>
      <c r="C2" s="24"/>
      <c r="D2" s="24"/>
      <c r="E2" s="24"/>
      <c r="F2" s="24"/>
    </row>
    <row r="4" spans="1:6" ht="30" customHeight="1">
      <c r="A4" s="1" t="s">
        <v>223</v>
      </c>
      <c r="B4" s="1" t="s">
        <v>513</v>
      </c>
      <c r="C4" s="1" t="s">
        <v>514</v>
      </c>
      <c r="D4" s="1" t="s">
        <v>515</v>
      </c>
      <c r="E4" s="1" t="s">
        <v>516</v>
      </c>
      <c r="F4" s="1" t="s">
        <v>517</v>
      </c>
    </row>
    <row r="5" spans="1:6">
      <c r="A5" s="4" t="s">
        <v>518</v>
      </c>
      <c r="B5" s="2" t="s">
        <v>519</v>
      </c>
      <c r="C5" s="2" t="s">
        <v>520</v>
      </c>
      <c r="D5" s="2" t="s">
        <v>521</v>
      </c>
      <c r="E5" s="2" t="s">
        <v>522</v>
      </c>
      <c r="F5" s="2" t="s">
        <v>523</v>
      </c>
    </row>
    <row r="6" spans="1:6">
      <c r="A6" s="4" t="s">
        <v>524</v>
      </c>
      <c r="B6" s="2" t="s">
        <v>249</v>
      </c>
      <c r="C6" s="2" t="s">
        <v>525</v>
      </c>
      <c r="D6" s="2" t="s">
        <v>526</v>
      </c>
      <c r="E6" s="2" t="s">
        <v>522</v>
      </c>
      <c r="F6" s="2" t="s">
        <v>523</v>
      </c>
    </row>
    <row r="7" spans="1:6">
      <c r="A7" s="4" t="s">
        <v>527</v>
      </c>
      <c r="B7" s="2" t="s">
        <v>253</v>
      </c>
      <c r="C7" s="2" t="s">
        <v>528</v>
      </c>
      <c r="D7" s="2" t="s">
        <v>529</v>
      </c>
      <c r="E7" s="2" t="s">
        <v>522</v>
      </c>
      <c r="F7" s="2" t="s">
        <v>523</v>
      </c>
    </row>
    <row r="8" spans="1:6" ht="27.6">
      <c r="A8" s="4" t="s">
        <v>531</v>
      </c>
      <c r="B8" s="2" t="s">
        <v>16</v>
      </c>
      <c r="C8" s="2" t="s">
        <v>532</v>
      </c>
      <c r="D8" s="2" t="s">
        <v>533</v>
      </c>
      <c r="E8" s="2" t="s">
        <v>522</v>
      </c>
      <c r="F8" s="2" t="s">
        <v>523</v>
      </c>
    </row>
    <row r="9" spans="1:6">
      <c r="A9" s="4" t="s">
        <v>534</v>
      </c>
      <c r="B9" s="2" t="s">
        <v>535</v>
      </c>
      <c r="C9" s="2" t="s">
        <v>536</v>
      </c>
      <c r="D9" s="2" t="s">
        <v>537</v>
      </c>
      <c r="E9" s="2" t="s">
        <v>522</v>
      </c>
      <c r="F9" s="2" t="s">
        <v>523</v>
      </c>
    </row>
    <row r="10" spans="1:6">
      <c r="A10" s="19" t="s">
        <v>538</v>
      </c>
      <c r="B10" s="12" t="s">
        <v>20</v>
      </c>
      <c r="C10" s="36" t="s">
        <v>539</v>
      </c>
      <c r="D10" s="12" t="s">
        <v>540</v>
      </c>
      <c r="E10" s="12" t="s">
        <v>522</v>
      </c>
      <c r="F10" s="12" t="s">
        <v>530</v>
      </c>
    </row>
    <row r="11" spans="1:6">
      <c r="A11" s="4" t="s">
        <v>541</v>
      </c>
      <c r="B11" s="2" t="s">
        <v>542</v>
      </c>
      <c r="C11" s="2" t="s">
        <v>543</v>
      </c>
      <c r="D11" s="2" t="s">
        <v>544</v>
      </c>
      <c r="E11" s="2" t="s">
        <v>522</v>
      </c>
      <c r="F11" s="2" t="s">
        <v>523</v>
      </c>
    </row>
    <row r="12" spans="1:6">
      <c r="A12" s="4" t="s">
        <v>545</v>
      </c>
      <c r="B12" s="2" t="s">
        <v>546</v>
      </c>
      <c r="C12" s="2" t="s">
        <v>547</v>
      </c>
      <c r="D12" s="2" t="s">
        <v>548</v>
      </c>
      <c r="E12" s="2" t="s">
        <v>522</v>
      </c>
      <c r="F12" s="2" t="s">
        <v>523</v>
      </c>
    </row>
    <row r="13" spans="1:6" ht="27.6">
      <c r="A13" s="4" t="s">
        <v>549</v>
      </c>
      <c r="B13" s="2" t="s">
        <v>550</v>
      </c>
      <c r="C13" s="2" t="s">
        <v>551</v>
      </c>
      <c r="D13" s="2" t="s">
        <v>552</v>
      </c>
      <c r="E13" s="2" t="s">
        <v>522</v>
      </c>
      <c r="F13" s="2" t="s">
        <v>523</v>
      </c>
    </row>
    <row r="14" spans="1:6">
      <c r="A14" s="4" t="s">
        <v>553</v>
      </c>
      <c r="B14" s="2" t="s">
        <v>24</v>
      </c>
      <c r="C14" s="2" t="s">
        <v>554</v>
      </c>
      <c r="D14" s="2" t="s">
        <v>555</v>
      </c>
      <c r="E14" s="2" t="s">
        <v>522</v>
      </c>
      <c r="F14" s="2" t="s">
        <v>523</v>
      </c>
    </row>
    <row r="15" spans="1:6" ht="27.6">
      <c r="A15" s="4" t="s">
        <v>556</v>
      </c>
      <c r="B15" s="2" t="s">
        <v>557</v>
      </c>
      <c r="C15" s="2" t="s">
        <v>558</v>
      </c>
      <c r="D15" s="2" t="s">
        <v>559</v>
      </c>
      <c r="E15" s="2" t="s">
        <v>522</v>
      </c>
      <c r="F15" s="2" t="s">
        <v>530</v>
      </c>
    </row>
    <row r="16" spans="1:6" ht="27.6">
      <c r="A16" s="4" t="s">
        <v>560</v>
      </c>
      <c r="B16" s="2" t="s">
        <v>561</v>
      </c>
      <c r="C16" s="2" t="s">
        <v>562</v>
      </c>
      <c r="D16" s="2" t="s">
        <v>563</v>
      </c>
      <c r="E16" s="2" t="s">
        <v>522</v>
      </c>
      <c r="F16" s="2" t="s">
        <v>564</v>
      </c>
    </row>
    <row r="17" spans="1:6">
      <c r="A17" s="4" t="s">
        <v>565</v>
      </c>
      <c r="B17" s="2" t="s">
        <v>566</v>
      </c>
      <c r="C17" s="2" t="s">
        <v>567</v>
      </c>
      <c r="D17" s="2" t="s">
        <v>568</v>
      </c>
      <c r="E17" s="2" t="s">
        <v>522</v>
      </c>
      <c r="F17" s="2" t="s">
        <v>523</v>
      </c>
    </row>
    <row r="18" spans="1:6" ht="27.6">
      <c r="A18" s="4" t="s">
        <v>569</v>
      </c>
      <c r="B18" s="2" t="s">
        <v>570</v>
      </c>
      <c r="C18" s="2" t="s">
        <v>571</v>
      </c>
      <c r="D18" s="2" t="s">
        <v>572</v>
      </c>
      <c r="E18" s="2" t="s">
        <v>522</v>
      </c>
      <c r="F18" s="2" t="s">
        <v>523</v>
      </c>
    </row>
  </sheetData>
  <mergeCells count="2">
    <mergeCell ref="A1:F1"/>
    <mergeCell ref="A2:F2"/>
  </mergeCells>
  <dataValidations count="2">
    <dataValidation type="list" sqref="E5:E18" xr:uid="{00000000-0002-0000-0C00-000000000000}">
      <formula1>"Pendiente,En curso,Cumple,No cumple,BLOQUEO CRÍTICO"</formula1>
    </dataValidation>
    <dataValidation type="list" sqref="F5:F18" xr:uid="{00000000-0002-0000-0C00-000001000000}">
      <formula1>"Crítica,Alta,Media,Baja"</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workbookViewId="0">
      <pane ySplit="4" topLeftCell="A5" activePane="bottomLeft" state="frozen"/>
      <selection pane="bottomLeft" activeCell="C9" sqref="C9"/>
    </sheetView>
  </sheetViews>
  <sheetFormatPr baseColWidth="10" defaultColWidth="8.796875" defaultRowHeight="13.8"/>
  <cols>
    <col min="1" max="1" width="10" customWidth="1"/>
    <col min="2" max="2" width="38" customWidth="1"/>
    <col min="3" max="3" width="72" customWidth="1"/>
    <col min="4" max="4" width="92" customWidth="1"/>
    <col min="5" max="5" width="76" customWidth="1"/>
  </cols>
  <sheetData>
    <row r="1" spans="1:5" ht="30" customHeight="1">
      <c r="A1" s="23" t="s">
        <v>573</v>
      </c>
      <c r="B1" s="23"/>
      <c r="C1" s="23"/>
      <c r="D1" s="23"/>
      <c r="E1" s="23"/>
    </row>
    <row r="2" spans="1:5" ht="31.95" customHeight="1">
      <c r="A2" s="24" t="s">
        <v>574</v>
      </c>
      <c r="B2" s="24"/>
      <c r="C2" s="24"/>
      <c r="D2" s="24"/>
      <c r="E2" s="24"/>
    </row>
    <row r="4" spans="1:5" ht="30" customHeight="1">
      <c r="A4" s="1" t="s">
        <v>223</v>
      </c>
      <c r="B4" s="1" t="s">
        <v>575</v>
      </c>
      <c r="C4" s="1" t="s">
        <v>576</v>
      </c>
      <c r="D4" s="1" t="s">
        <v>577</v>
      </c>
      <c r="E4" s="1" t="s">
        <v>578</v>
      </c>
    </row>
    <row r="5" spans="1:5" ht="27.6">
      <c r="A5" s="4" t="s">
        <v>579</v>
      </c>
      <c r="B5" s="2" t="s">
        <v>580</v>
      </c>
      <c r="C5" s="2" t="s">
        <v>581</v>
      </c>
      <c r="D5" s="20" t="s">
        <v>614</v>
      </c>
      <c r="E5" s="2" t="s">
        <v>582</v>
      </c>
    </row>
    <row r="6" spans="1:5" ht="27.6">
      <c r="A6" s="4" t="s">
        <v>583</v>
      </c>
      <c r="B6" s="2" t="s">
        <v>187</v>
      </c>
      <c r="C6" s="2" t="s">
        <v>584</v>
      </c>
      <c r="D6" s="20" t="s">
        <v>585</v>
      </c>
      <c r="E6" s="2" t="s">
        <v>586</v>
      </c>
    </row>
    <row r="7" spans="1:5" ht="27.6">
      <c r="A7" s="4" t="s">
        <v>587</v>
      </c>
      <c r="B7" s="2" t="s">
        <v>588</v>
      </c>
      <c r="C7" s="2" t="s">
        <v>589</v>
      </c>
      <c r="D7" s="20" t="s">
        <v>590</v>
      </c>
      <c r="E7" s="2" t="s">
        <v>591</v>
      </c>
    </row>
    <row r="8" spans="1:5">
      <c r="A8" s="4" t="s">
        <v>592</v>
      </c>
      <c r="B8" s="2" t="s">
        <v>593</v>
      </c>
      <c r="C8" s="2" t="s">
        <v>594</v>
      </c>
      <c r="D8" s="20" t="s">
        <v>595</v>
      </c>
      <c r="E8" s="2" t="s">
        <v>596</v>
      </c>
    </row>
    <row r="9" spans="1:5" ht="27.6">
      <c r="A9" s="4" t="s">
        <v>597</v>
      </c>
      <c r="B9" s="2" t="s">
        <v>535</v>
      </c>
      <c r="C9" s="2" t="s">
        <v>598</v>
      </c>
      <c r="D9" s="20" t="s">
        <v>599</v>
      </c>
      <c r="E9" s="2" t="s">
        <v>600</v>
      </c>
    </row>
    <row r="10" spans="1:5" ht="27.6">
      <c r="A10" s="4" t="s">
        <v>601</v>
      </c>
      <c r="B10" s="2" t="s">
        <v>602</v>
      </c>
      <c r="C10" s="2" t="s">
        <v>603</v>
      </c>
      <c r="D10" s="20" t="s">
        <v>604</v>
      </c>
      <c r="E10" s="2" t="s">
        <v>605</v>
      </c>
    </row>
  </sheetData>
  <mergeCells count="2">
    <mergeCell ref="A1:E1"/>
    <mergeCell ref="A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LEEME</vt:lpstr>
      <vt:lpstr>Datos_base</vt:lpstr>
      <vt:lpstr>Modos</vt:lpstr>
      <vt:lpstr>Propiedades</vt:lpstr>
      <vt:lpstr>Bomba</vt:lpstr>
      <vt:lpstr>Venturi</vt:lpstr>
      <vt:lpstr>Tuberias</vt:lpstr>
      <vt:lpstr>Alimentacion</vt:lpstr>
      <vt:lpstr>Manguera_Pistola</vt:lpstr>
      <vt:lpstr>Boquilla</vt:lpstr>
      <vt:lpstr>Resumen</vt:lpstr>
      <vt:lpstr>Estaciones</vt:lpstr>
      <vt:lpstr>Verificacion</vt:lpstr>
      <vt:lpstr>Fuentes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JULIAN MATEO VARGAS RIVEROS</cp:lastModifiedBy>
  <dcterms:modified xsi:type="dcterms:W3CDTF">2026-10-10T16:23:59Z</dcterms:modified>
</cp:coreProperties>
</file>